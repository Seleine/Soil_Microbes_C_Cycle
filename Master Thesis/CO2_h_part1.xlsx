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zh-my.sharepoint.com/personal/selina_lepori_uzh_ch/Documents/Master Thesis/Master Thesis 2021 Stats/Growth/"/>
    </mc:Choice>
  </mc:AlternateContent>
  <xr:revisionPtr revIDLastSave="60" documentId="13_ncr:1_{5534E851-61D8-0D49-B565-0E413954522B}" xr6:coauthVersionLast="46" xr6:coauthVersionMax="47" xr10:uidLastSave="{34EAD996-3790-4A8F-90BA-721FBA52A6C2}"/>
  <bookViews>
    <workbookView xWindow="1830" yWindow="2430" windowWidth="21600" windowHeight="11385" xr2:uid="{00000000-000D-0000-FFFF-FFFF00000000}"/>
  </bookViews>
  <sheets>
    <sheet name="CO2_h" sheetId="1" r:id="rId1"/>
  </sheets>
  <definedNames>
    <definedName name="_xlnm._FilterDatabase" localSheetId="0" hidden="1">CO2_h!$A$1:$V$274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R8" i="1" s="1"/>
  <c r="P9" i="1"/>
  <c r="P10" i="1"/>
  <c r="P11" i="1"/>
  <c r="P12" i="1"/>
  <c r="P13" i="1"/>
  <c r="P14" i="1"/>
  <c r="P15" i="1"/>
  <c r="P16" i="1"/>
  <c r="R16" i="1" s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R32" i="1" s="1"/>
  <c r="P33" i="1"/>
  <c r="P34" i="1"/>
  <c r="P35" i="1"/>
  <c r="P36" i="1"/>
  <c r="P37" i="1"/>
  <c r="P38" i="1"/>
  <c r="P39" i="1"/>
  <c r="P40" i="1"/>
  <c r="R40" i="1" s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R80" i="1" s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R96" i="1" s="1"/>
  <c r="P97" i="1"/>
  <c r="P98" i="1"/>
  <c r="P99" i="1"/>
  <c r="P100" i="1"/>
  <c r="P101" i="1"/>
  <c r="P102" i="1"/>
  <c r="P103" i="1"/>
  <c r="P104" i="1"/>
  <c r="R104" i="1" s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R144" i="1" s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R79" i="1" s="1"/>
  <c r="I80" i="1"/>
  <c r="I81" i="1"/>
  <c r="I82" i="1"/>
  <c r="I83" i="1"/>
  <c r="I84" i="1"/>
  <c r="I85" i="1"/>
  <c r="I86" i="1"/>
  <c r="R86" i="1" s="1"/>
  <c r="S86" i="1" s="1"/>
  <c r="T86" i="1" s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R102" i="1" s="1"/>
  <c r="S102" i="1" s="1"/>
  <c r="T102" i="1" s="1"/>
  <c r="I103" i="1"/>
  <c r="R103" i="1" s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R118" i="1" s="1"/>
  <c r="S118" i="1" s="1"/>
  <c r="T118" i="1" s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R134" i="1" s="1"/>
  <c r="S134" i="1" s="1"/>
  <c r="T134" i="1" s="1"/>
  <c r="I135" i="1"/>
  <c r="I136" i="1"/>
  <c r="I137" i="1"/>
  <c r="I138" i="1"/>
  <c r="I139" i="1"/>
  <c r="I140" i="1"/>
  <c r="I141" i="1"/>
  <c r="I142" i="1"/>
  <c r="R142" i="1" s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R158" i="1" s="1"/>
  <c r="I159" i="1"/>
  <c r="I160" i="1"/>
  <c r="I161" i="1"/>
  <c r="I162" i="1"/>
  <c r="I163" i="1"/>
  <c r="I164" i="1"/>
  <c r="I165" i="1"/>
  <c r="I166" i="1"/>
  <c r="R166" i="1" s="1"/>
  <c r="S166" i="1" s="1"/>
  <c r="T166" i="1" s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R182" i="1" s="1"/>
  <c r="I183" i="1"/>
  <c r="I184" i="1"/>
  <c r="I185" i="1"/>
  <c r="I186" i="1"/>
  <c r="I187" i="1"/>
  <c r="I188" i="1"/>
  <c r="I189" i="1"/>
  <c r="I190" i="1"/>
  <c r="I191" i="1"/>
  <c r="R191" i="1" s="1"/>
  <c r="S191" i="1" s="1"/>
  <c r="T191" i="1" s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R206" i="1" s="1"/>
  <c r="I207" i="1"/>
  <c r="I208" i="1"/>
  <c r="I209" i="1"/>
  <c r="I210" i="1"/>
  <c r="I211" i="1"/>
  <c r="I212" i="1"/>
  <c r="I213" i="1"/>
  <c r="I214" i="1"/>
  <c r="R214" i="1" s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" i="1"/>
  <c r="R6" i="1"/>
  <c r="S6" i="1" s="1"/>
  <c r="T6" i="1" s="1"/>
  <c r="R38" i="1"/>
  <c r="S38" i="1" s="1"/>
  <c r="T38" i="1" s="1"/>
  <c r="R54" i="1"/>
  <c r="S54" i="1" s="1"/>
  <c r="T54" i="1" s="1"/>
  <c r="R55" i="1"/>
  <c r="S55" i="1" s="1"/>
  <c r="T55" i="1" s="1"/>
  <c r="R70" i="1"/>
  <c r="S70" i="1" s="1"/>
  <c r="T70" i="1" s="1"/>
  <c r="R119" i="1"/>
  <c r="R127" i="1"/>
  <c r="S127" i="1" s="1"/>
  <c r="T127" i="1" s="1"/>
  <c r="R150" i="1"/>
  <c r="S150" i="1" s="1"/>
  <c r="T150" i="1" s="1"/>
  <c r="R174" i="1"/>
  <c r="R190" i="1"/>
  <c r="R198" i="1"/>
  <c r="R215" i="1"/>
  <c r="R209" i="1" l="1"/>
  <c r="S209" i="1" s="1"/>
  <c r="T209" i="1" s="1"/>
  <c r="R193" i="1"/>
  <c r="S193" i="1" s="1"/>
  <c r="T193" i="1" s="1"/>
  <c r="R202" i="1"/>
  <c r="R98" i="1"/>
  <c r="R162" i="1"/>
  <c r="R178" i="1"/>
  <c r="S178" i="1" s="1"/>
  <c r="T178" i="1" s="1"/>
  <c r="R138" i="1"/>
  <c r="S138" i="1" s="1"/>
  <c r="T138" i="1" s="1"/>
  <c r="R58" i="1"/>
  <c r="R66" i="1"/>
  <c r="S66" i="1" s="1"/>
  <c r="T66" i="1" s="1"/>
  <c r="R18" i="1"/>
  <c r="R22" i="1"/>
  <c r="S22" i="1" s="1"/>
  <c r="T22" i="1" s="1"/>
  <c r="R122" i="1"/>
  <c r="S122" i="1" s="1"/>
  <c r="T122" i="1" s="1"/>
  <c r="R217" i="1"/>
  <c r="S217" i="1" s="1"/>
  <c r="T217" i="1" s="1"/>
  <c r="R177" i="1"/>
  <c r="S177" i="1" s="1"/>
  <c r="T177" i="1" s="1"/>
  <c r="R216" i="1"/>
  <c r="S216" i="1" s="1"/>
  <c r="T216" i="1" s="1"/>
  <c r="R208" i="1"/>
  <c r="R200" i="1"/>
  <c r="S200" i="1" s="1"/>
  <c r="T200" i="1" s="1"/>
  <c r="R192" i="1"/>
  <c r="R184" i="1"/>
  <c r="R176" i="1"/>
  <c r="S176" i="1" s="1"/>
  <c r="T176" i="1" s="1"/>
  <c r="R160" i="1"/>
  <c r="R152" i="1"/>
  <c r="S152" i="1" s="1"/>
  <c r="T152" i="1" s="1"/>
  <c r="R136" i="1"/>
  <c r="S136" i="1" s="1"/>
  <c r="T136" i="1" s="1"/>
  <c r="R128" i="1"/>
  <c r="R120" i="1"/>
  <c r="S120" i="1" s="1"/>
  <c r="T120" i="1" s="1"/>
  <c r="R112" i="1"/>
  <c r="R88" i="1"/>
  <c r="R72" i="1"/>
  <c r="S72" i="1" s="1"/>
  <c r="T72" i="1" s="1"/>
  <c r="R64" i="1"/>
  <c r="R56" i="1"/>
  <c r="S56" i="1" s="1"/>
  <c r="T56" i="1" s="1"/>
  <c r="R48" i="1"/>
  <c r="S48" i="1" s="1"/>
  <c r="T48" i="1" s="1"/>
  <c r="R24" i="1"/>
  <c r="R159" i="1"/>
  <c r="S159" i="1" s="1"/>
  <c r="T159" i="1" s="1"/>
  <c r="R95" i="1"/>
  <c r="S95" i="1" s="1"/>
  <c r="T95" i="1" s="1"/>
  <c r="R210" i="1"/>
  <c r="R194" i="1"/>
  <c r="S194" i="1" s="1"/>
  <c r="T194" i="1" s="1"/>
  <c r="R186" i="1"/>
  <c r="R170" i="1"/>
  <c r="S170" i="1" s="1"/>
  <c r="T170" i="1" s="1"/>
  <c r="R154" i="1"/>
  <c r="S154" i="1" s="1"/>
  <c r="T154" i="1" s="1"/>
  <c r="R146" i="1"/>
  <c r="R130" i="1"/>
  <c r="S130" i="1" s="1"/>
  <c r="T130" i="1" s="1"/>
  <c r="R114" i="1"/>
  <c r="R106" i="1"/>
  <c r="R90" i="1"/>
  <c r="S90" i="1" s="1"/>
  <c r="T90" i="1" s="1"/>
  <c r="R82" i="1"/>
  <c r="R74" i="1"/>
  <c r="S74" i="1" s="1"/>
  <c r="T74" i="1" s="1"/>
  <c r="R50" i="1"/>
  <c r="S50" i="1" s="1"/>
  <c r="T50" i="1" s="1"/>
  <c r="R42" i="1"/>
  <c r="R34" i="1"/>
  <c r="S34" i="1" s="1"/>
  <c r="T34" i="1" s="1"/>
  <c r="R26" i="1"/>
  <c r="R10" i="1"/>
  <c r="R167" i="1"/>
  <c r="S167" i="1" s="1"/>
  <c r="T167" i="1" s="1"/>
  <c r="R199" i="1"/>
  <c r="R151" i="1"/>
  <c r="R71" i="1"/>
  <c r="S71" i="1" s="1"/>
  <c r="T71" i="1" s="1"/>
  <c r="R201" i="1"/>
  <c r="S201" i="1" s="1"/>
  <c r="T201" i="1" s="1"/>
  <c r="R185" i="1"/>
  <c r="S185" i="1" s="1"/>
  <c r="T185" i="1" s="1"/>
  <c r="R263" i="1"/>
  <c r="S263" i="1" s="1"/>
  <c r="T263" i="1" s="1"/>
  <c r="R205" i="1"/>
  <c r="S205" i="1" s="1"/>
  <c r="T205" i="1" s="1"/>
  <c r="R181" i="1"/>
  <c r="S181" i="1" s="1"/>
  <c r="T181" i="1" s="1"/>
  <c r="R270" i="1"/>
  <c r="S270" i="1" s="1"/>
  <c r="T270" i="1" s="1"/>
  <c r="R251" i="1"/>
  <c r="S251" i="1" s="1"/>
  <c r="T251" i="1" s="1"/>
  <c r="R243" i="1"/>
  <c r="S243" i="1" s="1"/>
  <c r="T243" i="1" s="1"/>
  <c r="R235" i="1"/>
  <c r="S235" i="1" s="1"/>
  <c r="T235" i="1" s="1"/>
  <c r="R227" i="1"/>
  <c r="S227" i="1" s="1"/>
  <c r="T227" i="1" s="1"/>
  <c r="R219" i="1"/>
  <c r="R262" i="1"/>
  <c r="S262" i="1" s="1"/>
  <c r="T262" i="1" s="1"/>
  <c r="R268" i="1"/>
  <c r="S268" i="1" s="1"/>
  <c r="T268" i="1" s="1"/>
  <c r="R260" i="1"/>
  <c r="S260" i="1" s="1"/>
  <c r="T260" i="1" s="1"/>
  <c r="R265" i="1"/>
  <c r="S265" i="1" s="1"/>
  <c r="T265" i="1" s="1"/>
  <c r="R267" i="1"/>
  <c r="S267" i="1" s="1"/>
  <c r="T267" i="1" s="1"/>
  <c r="R259" i="1"/>
  <c r="S259" i="1" s="1"/>
  <c r="T259" i="1" s="1"/>
  <c r="R266" i="1"/>
  <c r="S266" i="1" s="1"/>
  <c r="T266" i="1" s="1"/>
  <c r="R258" i="1"/>
  <c r="S258" i="1" s="1"/>
  <c r="T258" i="1" s="1"/>
  <c r="R273" i="1"/>
  <c r="S273" i="1" s="1"/>
  <c r="T273" i="1" s="1"/>
  <c r="R47" i="1"/>
  <c r="S47" i="1" s="1"/>
  <c r="T47" i="1" s="1"/>
  <c r="R39" i="1"/>
  <c r="S39" i="1" s="1"/>
  <c r="T39" i="1" s="1"/>
  <c r="R31" i="1"/>
  <c r="S31" i="1" s="1"/>
  <c r="T31" i="1" s="1"/>
  <c r="R23" i="1"/>
  <c r="S23" i="1" s="1"/>
  <c r="T23" i="1" s="1"/>
  <c r="R15" i="1"/>
  <c r="S15" i="1" s="1"/>
  <c r="T15" i="1" s="1"/>
  <c r="R7" i="1"/>
  <c r="S7" i="1" s="1"/>
  <c r="T7" i="1" s="1"/>
  <c r="R272" i="1"/>
  <c r="S272" i="1" s="1"/>
  <c r="T272" i="1" s="1"/>
  <c r="R264" i="1"/>
  <c r="S264" i="1" s="1"/>
  <c r="T264" i="1" s="1"/>
  <c r="R271" i="1"/>
  <c r="S271" i="1" s="1"/>
  <c r="T271" i="1" s="1"/>
  <c r="R252" i="1"/>
  <c r="S252" i="1" s="1"/>
  <c r="T252" i="1" s="1"/>
  <c r="R244" i="1"/>
  <c r="R236" i="1"/>
  <c r="S236" i="1" s="1"/>
  <c r="T236" i="1" s="1"/>
  <c r="R228" i="1"/>
  <c r="S228" i="1" s="1"/>
  <c r="T228" i="1" s="1"/>
  <c r="R220" i="1"/>
  <c r="S220" i="1" s="1"/>
  <c r="T220" i="1" s="1"/>
  <c r="R269" i="1"/>
  <c r="S269" i="1" s="1"/>
  <c r="T269" i="1" s="1"/>
  <c r="R261" i="1"/>
  <c r="S261" i="1" s="1"/>
  <c r="T261" i="1" s="1"/>
  <c r="R2" i="1"/>
  <c r="R149" i="1"/>
  <c r="S149" i="1" s="1"/>
  <c r="T149" i="1" s="1"/>
  <c r="R141" i="1"/>
  <c r="S141" i="1" s="1"/>
  <c r="T141" i="1" s="1"/>
  <c r="R133" i="1"/>
  <c r="S133" i="1" s="1"/>
  <c r="T133" i="1" s="1"/>
  <c r="R125" i="1"/>
  <c r="S125" i="1" s="1"/>
  <c r="T125" i="1" s="1"/>
  <c r="R117" i="1"/>
  <c r="S117" i="1" s="1"/>
  <c r="T117" i="1" s="1"/>
  <c r="R109" i="1"/>
  <c r="S109" i="1" s="1"/>
  <c r="T109" i="1" s="1"/>
  <c r="R101" i="1"/>
  <c r="S101" i="1" s="1"/>
  <c r="T101" i="1" s="1"/>
  <c r="R93" i="1"/>
  <c r="S93" i="1" s="1"/>
  <c r="T93" i="1" s="1"/>
  <c r="R85" i="1"/>
  <c r="S85" i="1" s="1"/>
  <c r="T85" i="1" s="1"/>
  <c r="R77" i="1"/>
  <c r="S77" i="1" s="1"/>
  <c r="T77" i="1" s="1"/>
  <c r="R69" i="1"/>
  <c r="S69" i="1" s="1"/>
  <c r="T69" i="1" s="1"/>
  <c r="R61" i="1"/>
  <c r="S61" i="1" s="1"/>
  <c r="T61" i="1" s="1"/>
  <c r="R53" i="1"/>
  <c r="S53" i="1" s="1"/>
  <c r="T53" i="1" s="1"/>
  <c r="R45" i="1"/>
  <c r="S45" i="1" s="1"/>
  <c r="T45" i="1" s="1"/>
  <c r="R37" i="1"/>
  <c r="S37" i="1" s="1"/>
  <c r="T37" i="1" s="1"/>
  <c r="R29" i="1"/>
  <c r="S29" i="1" s="1"/>
  <c r="T29" i="1" s="1"/>
  <c r="R21" i="1"/>
  <c r="S21" i="1" s="1"/>
  <c r="T21" i="1" s="1"/>
  <c r="R13" i="1"/>
  <c r="S13" i="1" s="1"/>
  <c r="T13" i="1" s="1"/>
  <c r="R5" i="1"/>
  <c r="S5" i="1" s="1"/>
  <c r="T5" i="1" s="1"/>
  <c r="R165" i="1"/>
  <c r="S165" i="1" s="1"/>
  <c r="T165" i="1" s="1"/>
  <c r="R135" i="1"/>
  <c r="S135" i="1" s="1"/>
  <c r="T135" i="1" s="1"/>
  <c r="R87" i="1"/>
  <c r="S87" i="1" s="1"/>
  <c r="T87" i="1" s="1"/>
  <c r="S103" i="1"/>
  <c r="T103" i="1" s="1"/>
  <c r="R212" i="1"/>
  <c r="S212" i="1" s="1"/>
  <c r="T212" i="1" s="1"/>
  <c r="R204" i="1"/>
  <c r="S204" i="1" s="1"/>
  <c r="T204" i="1" s="1"/>
  <c r="R196" i="1"/>
  <c r="S196" i="1" s="1"/>
  <c r="T196" i="1" s="1"/>
  <c r="R188" i="1"/>
  <c r="S188" i="1" s="1"/>
  <c r="T188" i="1" s="1"/>
  <c r="R180" i="1"/>
  <c r="S180" i="1" s="1"/>
  <c r="T180" i="1" s="1"/>
  <c r="R172" i="1"/>
  <c r="S172" i="1" s="1"/>
  <c r="T172" i="1" s="1"/>
  <c r="R164" i="1"/>
  <c r="S164" i="1" s="1"/>
  <c r="T164" i="1" s="1"/>
  <c r="R156" i="1"/>
  <c r="S156" i="1" s="1"/>
  <c r="T156" i="1" s="1"/>
  <c r="R148" i="1"/>
  <c r="S148" i="1" s="1"/>
  <c r="T148" i="1" s="1"/>
  <c r="R140" i="1"/>
  <c r="S140" i="1" s="1"/>
  <c r="T140" i="1" s="1"/>
  <c r="R132" i="1"/>
  <c r="S132" i="1" s="1"/>
  <c r="T132" i="1" s="1"/>
  <c r="R124" i="1"/>
  <c r="S124" i="1" s="1"/>
  <c r="T124" i="1" s="1"/>
  <c r="R116" i="1"/>
  <c r="S116" i="1" s="1"/>
  <c r="T116" i="1" s="1"/>
  <c r="R108" i="1"/>
  <c r="S108" i="1" s="1"/>
  <c r="T108" i="1" s="1"/>
  <c r="R100" i="1"/>
  <c r="S100" i="1" s="1"/>
  <c r="T100" i="1" s="1"/>
  <c r="R92" i="1"/>
  <c r="S92" i="1" s="1"/>
  <c r="T92" i="1" s="1"/>
  <c r="R84" i="1"/>
  <c r="S84" i="1" s="1"/>
  <c r="T84" i="1" s="1"/>
  <c r="R76" i="1"/>
  <c r="S76" i="1" s="1"/>
  <c r="T76" i="1" s="1"/>
  <c r="R68" i="1"/>
  <c r="S68" i="1" s="1"/>
  <c r="T68" i="1" s="1"/>
  <c r="R60" i="1"/>
  <c r="S60" i="1" s="1"/>
  <c r="T60" i="1" s="1"/>
  <c r="R52" i="1"/>
  <c r="S52" i="1" s="1"/>
  <c r="T52" i="1" s="1"/>
  <c r="R44" i="1"/>
  <c r="S44" i="1" s="1"/>
  <c r="T44" i="1" s="1"/>
  <c r="R36" i="1"/>
  <c r="S36" i="1" s="1"/>
  <c r="T36" i="1" s="1"/>
  <c r="R28" i="1"/>
  <c r="S28" i="1" s="1"/>
  <c r="T28" i="1" s="1"/>
  <c r="R20" i="1"/>
  <c r="S20" i="1" s="1"/>
  <c r="T20" i="1" s="1"/>
  <c r="R12" i="1"/>
  <c r="S12" i="1" s="1"/>
  <c r="T12" i="1" s="1"/>
  <c r="R4" i="1"/>
  <c r="S4" i="1" s="1"/>
  <c r="T4" i="1" s="1"/>
  <c r="R257" i="1"/>
  <c r="S257" i="1" s="1"/>
  <c r="T257" i="1" s="1"/>
  <c r="R249" i="1"/>
  <c r="R241" i="1"/>
  <c r="S241" i="1" s="1"/>
  <c r="T241" i="1" s="1"/>
  <c r="R233" i="1"/>
  <c r="S233" i="1" s="1"/>
  <c r="T233" i="1" s="1"/>
  <c r="R225" i="1"/>
  <c r="S225" i="1" s="1"/>
  <c r="T225" i="1" s="1"/>
  <c r="R189" i="1"/>
  <c r="S189" i="1" s="1"/>
  <c r="T189" i="1" s="1"/>
  <c r="R175" i="1"/>
  <c r="S175" i="1" s="1"/>
  <c r="T175" i="1" s="1"/>
  <c r="S215" i="1"/>
  <c r="T215" i="1" s="1"/>
  <c r="S151" i="1"/>
  <c r="T151" i="1" s="1"/>
  <c r="R211" i="1"/>
  <c r="S211" i="1" s="1"/>
  <c r="T211" i="1" s="1"/>
  <c r="R203" i="1"/>
  <c r="S203" i="1" s="1"/>
  <c r="T203" i="1" s="1"/>
  <c r="R195" i="1"/>
  <c r="S195" i="1" s="1"/>
  <c r="T195" i="1" s="1"/>
  <c r="R187" i="1"/>
  <c r="S187" i="1" s="1"/>
  <c r="T187" i="1" s="1"/>
  <c r="R179" i="1"/>
  <c r="S179" i="1" s="1"/>
  <c r="T179" i="1" s="1"/>
  <c r="R171" i="1"/>
  <c r="S171" i="1" s="1"/>
  <c r="T171" i="1" s="1"/>
  <c r="R163" i="1"/>
  <c r="S163" i="1" s="1"/>
  <c r="T163" i="1" s="1"/>
  <c r="R155" i="1"/>
  <c r="S155" i="1" s="1"/>
  <c r="T155" i="1" s="1"/>
  <c r="R147" i="1"/>
  <c r="S147" i="1" s="1"/>
  <c r="T147" i="1" s="1"/>
  <c r="R139" i="1"/>
  <c r="S139" i="1" s="1"/>
  <c r="T139" i="1" s="1"/>
  <c r="R131" i="1"/>
  <c r="S131" i="1" s="1"/>
  <c r="T131" i="1" s="1"/>
  <c r="R123" i="1"/>
  <c r="S123" i="1" s="1"/>
  <c r="T123" i="1" s="1"/>
  <c r="R115" i="1"/>
  <c r="S115" i="1" s="1"/>
  <c r="T115" i="1" s="1"/>
  <c r="R107" i="1"/>
  <c r="S107" i="1" s="1"/>
  <c r="T107" i="1" s="1"/>
  <c r="R99" i="1"/>
  <c r="S99" i="1" s="1"/>
  <c r="T99" i="1" s="1"/>
  <c r="R91" i="1"/>
  <c r="S91" i="1" s="1"/>
  <c r="T91" i="1" s="1"/>
  <c r="R83" i="1"/>
  <c r="S83" i="1" s="1"/>
  <c r="T83" i="1" s="1"/>
  <c r="R75" i="1"/>
  <c r="S75" i="1" s="1"/>
  <c r="T75" i="1" s="1"/>
  <c r="R67" i="1"/>
  <c r="S67" i="1" s="1"/>
  <c r="T67" i="1" s="1"/>
  <c r="R59" i="1"/>
  <c r="S59" i="1" s="1"/>
  <c r="T59" i="1" s="1"/>
  <c r="R51" i="1"/>
  <c r="S51" i="1" s="1"/>
  <c r="T51" i="1" s="1"/>
  <c r="R43" i="1"/>
  <c r="S43" i="1" s="1"/>
  <c r="T43" i="1" s="1"/>
  <c r="R35" i="1"/>
  <c r="S35" i="1" s="1"/>
  <c r="T35" i="1" s="1"/>
  <c r="R27" i="1"/>
  <c r="S27" i="1" s="1"/>
  <c r="T27" i="1" s="1"/>
  <c r="R19" i="1"/>
  <c r="S19" i="1" s="1"/>
  <c r="T19" i="1" s="1"/>
  <c r="R11" i="1"/>
  <c r="S11" i="1" s="1"/>
  <c r="T11" i="1" s="1"/>
  <c r="R3" i="1"/>
  <c r="S3" i="1" s="1"/>
  <c r="T3" i="1" s="1"/>
  <c r="R213" i="1"/>
  <c r="S213" i="1" s="1"/>
  <c r="T213" i="1" s="1"/>
  <c r="S119" i="1"/>
  <c r="T119" i="1" s="1"/>
  <c r="S114" i="1"/>
  <c r="T114" i="1" s="1"/>
  <c r="S106" i="1"/>
  <c r="T106" i="1" s="1"/>
  <c r="S98" i="1"/>
  <c r="T98" i="1" s="1"/>
  <c r="S82" i="1"/>
  <c r="T82" i="1" s="1"/>
  <c r="S58" i="1"/>
  <c r="T58" i="1" s="1"/>
  <c r="S42" i="1"/>
  <c r="T42" i="1" s="1"/>
  <c r="S26" i="1"/>
  <c r="T26" i="1" s="1"/>
  <c r="S18" i="1"/>
  <c r="T18" i="1" s="1"/>
  <c r="S10" i="1"/>
  <c r="T10" i="1" s="1"/>
  <c r="R255" i="1"/>
  <c r="S255" i="1" s="1"/>
  <c r="T255" i="1" s="1"/>
  <c r="R247" i="1"/>
  <c r="S247" i="1" s="1"/>
  <c r="T247" i="1" s="1"/>
  <c r="R239" i="1"/>
  <c r="R231" i="1"/>
  <c r="S231" i="1" s="1"/>
  <c r="T231" i="1" s="1"/>
  <c r="R223" i="1"/>
  <c r="S223" i="1" s="1"/>
  <c r="T223" i="1" s="1"/>
  <c r="R173" i="1"/>
  <c r="S173" i="1" s="1"/>
  <c r="T173" i="1" s="1"/>
  <c r="S199" i="1"/>
  <c r="T199" i="1" s="1"/>
  <c r="R169" i="1"/>
  <c r="S169" i="1" s="1"/>
  <c r="T169" i="1" s="1"/>
  <c r="R161" i="1"/>
  <c r="S161" i="1" s="1"/>
  <c r="T161" i="1" s="1"/>
  <c r="R153" i="1"/>
  <c r="S153" i="1" s="1"/>
  <c r="T153" i="1" s="1"/>
  <c r="R145" i="1"/>
  <c r="S145" i="1" s="1"/>
  <c r="T145" i="1" s="1"/>
  <c r="R137" i="1"/>
  <c r="S137" i="1" s="1"/>
  <c r="T137" i="1" s="1"/>
  <c r="R129" i="1"/>
  <c r="S129" i="1" s="1"/>
  <c r="T129" i="1" s="1"/>
  <c r="R121" i="1"/>
  <c r="S121" i="1" s="1"/>
  <c r="T121" i="1" s="1"/>
  <c r="R113" i="1"/>
  <c r="S113" i="1" s="1"/>
  <c r="T113" i="1" s="1"/>
  <c r="R105" i="1"/>
  <c r="S105" i="1" s="1"/>
  <c r="T105" i="1" s="1"/>
  <c r="R97" i="1"/>
  <c r="S97" i="1" s="1"/>
  <c r="T97" i="1" s="1"/>
  <c r="R89" i="1"/>
  <c r="S89" i="1" s="1"/>
  <c r="T89" i="1" s="1"/>
  <c r="R81" i="1"/>
  <c r="S81" i="1" s="1"/>
  <c r="T81" i="1" s="1"/>
  <c r="R73" i="1"/>
  <c r="S73" i="1" s="1"/>
  <c r="T73" i="1" s="1"/>
  <c r="R65" i="1"/>
  <c r="S65" i="1" s="1"/>
  <c r="T65" i="1" s="1"/>
  <c r="R57" i="1"/>
  <c r="S57" i="1" s="1"/>
  <c r="T57" i="1" s="1"/>
  <c r="R254" i="1"/>
  <c r="S254" i="1" s="1"/>
  <c r="T254" i="1" s="1"/>
  <c r="R246" i="1"/>
  <c r="S246" i="1" s="1"/>
  <c r="T246" i="1" s="1"/>
  <c r="R238" i="1"/>
  <c r="S238" i="1" s="1"/>
  <c r="T238" i="1" s="1"/>
  <c r="R230" i="1"/>
  <c r="S230" i="1" s="1"/>
  <c r="T230" i="1" s="1"/>
  <c r="R222" i="1"/>
  <c r="S222" i="1" s="1"/>
  <c r="T222" i="1" s="1"/>
  <c r="R197" i="1"/>
  <c r="S197" i="1" s="1"/>
  <c r="T197" i="1" s="1"/>
  <c r="R183" i="1"/>
  <c r="S183" i="1" s="1"/>
  <c r="T183" i="1" s="1"/>
  <c r="R143" i="1"/>
  <c r="S143" i="1" s="1"/>
  <c r="T143" i="1" s="1"/>
  <c r="R111" i="1"/>
  <c r="S111" i="1" s="1"/>
  <c r="T111" i="1" s="1"/>
  <c r="R63" i="1"/>
  <c r="S63" i="1" s="1"/>
  <c r="T63" i="1" s="1"/>
  <c r="S79" i="1"/>
  <c r="T79" i="1" s="1"/>
  <c r="S208" i="1"/>
  <c r="T208" i="1" s="1"/>
  <c r="S192" i="1"/>
  <c r="T192" i="1" s="1"/>
  <c r="S184" i="1"/>
  <c r="T184" i="1" s="1"/>
  <c r="S160" i="1"/>
  <c r="T160" i="1" s="1"/>
  <c r="S144" i="1"/>
  <c r="T144" i="1" s="1"/>
  <c r="S128" i="1"/>
  <c r="T128" i="1" s="1"/>
  <c r="S112" i="1"/>
  <c r="T112" i="1" s="1"/>
  <c r="S104" i="1"/>
  <c r="T104" i="1" s="1"/>
  <c r="S96" i="1"/>
  <c r="T96" i="1" s="1"/>
  <c r="S88" i="1"/>
  <c r="T88" i="1" s="1"/>
  <c r="S80" i="1"/>
  <c r="T80" i="1" s="1"/>
  <c r="S64" i="1"/>
  <c r="T64" i="1" s="1"/>
  <c r="S40" i="1"/>
  <c r="T40" i="1" s="1"/>
  <c r="S32" i="1"/>
  <c r="T32" i="1" s="1"/>
  <c r="S24" i="1"/>
  <c r="T24" i="1" s="1"/>
  <c r="S16" i="1"/>
  <c r="T16" i="1" s="1"/>
  <c r="S8" i="1"/>
  <c r="T8" i="1" s="1"/>
  <c r="R253" i="1"/>
  <c r="S253" i="1" s="1"/>
  <c r="T253" i="1" s="1"/>
  <c r="R245" i="1"/>
  <c r="R237" i="1"/>
  <c r="S237" i="1" s="1"/>
  <c r="T237" i="1" s="1"/>
  <c r="R229" i="1"/>
  <c r="S229" i="1" s="1"/>
  <c r="T229" i="1" s="1"/>
  <c r="R221" i="1"/>
  <c r="S221" i="1" s="1"/>
  <c r="T221" i="1" s="1"/>
  <c r="R207" i="1"/>
  <c r="S207" i="1" s="1"/>
  <c r="T207" i="1" s="1"/>
  <c r="R168" i="1"/>
  <c r="S168" i="1" s="1"/>
  <c r="T168" i="1" s="1"/>
  <c r="R157" i="1"/>
  <c r="S157" i="1" s="1"/>
  <c r="T157" i="1" s="1"/>
  <c r="R126" i="1"/>
  <c r="S126" i="1" s="1"/>
  <c r="T126" i="1" s="1"/>
  <c r="R110" i="1"/>
  <c r="S110" i="1" s="1"/>
  <c r="T110" i="1" s="1"/>
  <c r="R94" i="1"/>
  <c r="S94" i="1" s="1"/>
  <c r="T94" i="1" s="1"/>
  <c r="R78" i="1"/>
  <c r="S78" i="1" s="1"/>
  <c r="T78" i="1" s="1"/>
  <c r="R62" i="1"/>
  <c r="S62" i="1" s="1"/>
  <c r="T62" i="1" s="1"/>
  <c r="R46" i="1"/>
  <c r="S46" i="1" s="1"/>
  <c r="T46" i="1" s="1"/>
  <c r="R30" i="1"/>
  <c r="S30" i="1" s="1"/>
  <c r="T30" i="1" s="1"/>
  <c r="R14" i="1"/>
  <c r="S14" i="1" s="1"/>
  <c r="T14" i="1" s="1"/>
  <c r="R250" i="1"/>
  <c r="S250" i="1" s="1"/>
  <c r="T250" i="1" s="1"/>
  <c r="R242" i="1"/>
  <c r="S242" i="1" s="1"/>
  <c r="T242" i="1" s="1"/>
  <c r="R234" i="1"/>
  <c r="S234" i="1" s="1"/>
  <c r="T234" i="1" s="1"/>
  <c r="R226" i="1"/>
  <c r="S226" i="1" s="1"/>
  <c r="T226" i="1" s="1"/>
  <c r="R218" i="1"/>
  <c r="S218" i="1" s="1"/>
  <c r="T218" i="1" s="1"/>
  <c r="R256" i="1"/>
  <c r="S256" i="1" s="1"/>
  <c r="T256" i="1" s="1"/>
  <c r="R248" i="1"/>
  <c r="S248" i="1" s="1"/>
  <c r="T248" i="1" s="1"/>
  <c r="R240" i="1"/>
  <c r="S240" i="1" s="1"/>
  <c r="T240" i="1" s="1"/>
  <c r="R232" i="1"/>
  <c r="S232" i="1" s="1"/>
  <c r="T232" i="1" s="1"/>
  <c r="R224" i="1"/>
  <c r="S224" i="1" s="1"/>
  <c r="T224" i="1" s="1"/>
  <c r="R49" i="1"/>
  <c r="S49" i="1" s="1"/>
  <c r="T49" i="1" s="1"/>
  <c r="R41" i="1"/>
  <c r="S41" i="1" s="1"/>
  <c r="T41" i="1" s="1"/>
  <c r="R33" i="1"/>
  <c r="S33" i="1" s="1"/>
  <c r="T33" i="1" s="1"/>
  <c r="R25" i="1"/>
  <c r="S25" i="1" s="1"/>
  <c r="T25" i="1" s="1"/>
  <c r="R17" i="1"/>
  <c r="S17" i="1" s="1"/>
  <c r="T17" i="1" s="1"/>
  <c r="R9" i="1"/>
  <c r="S9" i="1" s="1"/>
  <c r="T9" i="1" s="1"/>
  <c r="S249" i="1"/>
  <c r="T249" i="1" s="1"/>
  <c r="S239" i="1"/>
  <c r="T239" i="1" s="1"/>
  <c r="S219" i="1"/>
  <c r="T219" i="1" s="1"/>
  <c r="S245" i="1"/>
  <c r="T245" i="1" s="1"/>
  <c r="S244" i="1"/>
  <c r="T244" i="1" s="1"/>
  <c r="S214" i="1"/>
  <c r="T214" i="1" s="1"/>
  <c r="S210" i="1"/>
  <c r="T210" i="1" s="1"/>
  <c r="S206" i="1"/>
  <c r="T206" i="1" s="1"/>
  <c r="S202" i="1"/>
  <c r="T202" i="1" s="1"/>
  <c r="S198" i="1"/>
  <c r="T198" i="1" s="1"/>
  <c r="S190" i="1"/>
  <c r="T190" i="1" s="1"/>
  <c r="S186" i="1"/>
  <c r="T186" i="1" s="1"/>
  <c r="S182" i="1"/>
  <c r="T182" i="1" s="1"/>
  <c r="S174" i="1"/>
  <c r="T174" i="1" s="1"/>
  <c r="S162" i="1"/>
  <c r="T162" i="1" s="1"/>
  <c r="S158" i="1"/>
  <c r="T158" i="1" s="1"/>
  <c r="S146" i="1"/>
  <c r="T146" i="1" s="1"/>
  <c r="S142" i="1"/>
  <c r="T142" i="1" s="1"/>
  <c r="S2" i="1" l="1"/>
  <c r="T2" i="1" s="1"/>
</calcChain>
</file>

<file path=xl/sharedStrings.xml><?xml version="1.0" encoding="utf-8"?>
<sst xmlns="http://schemas.openxmlformats.org/spreadsheetml/2006/main" count="839" uniqueCount="38">
  <si>
    <t>jar</t>
  </si>
  <si>
    <t>species</t>
  </si>
  <si>
    <t>moisture</t>
  </si>
  <si>
    <t>timepoint</t>
  </si>
  <si>
    <t>hours</t>
  </si>
  <si>
    <t>rsq</t>
  </si>
  <si>
    <t>Bonly</t>
  </si>
  <si>
    <t>Fonly</t>
  </si>
  <si>
    <t>D</t>
  </si>
  <si>
    <t>M</t>
  </si>
  <si>
    <t>t1.1</t>
  </si>
  <si>
    <t>t2.1</t>
  </si>
  <si>
    <t>t3.1</t>
  </si>
  <si>
    <t>t4.1</t>
  </si>
  <si>
    <t>t5.1</t>
  </si>
  <si>
    <t>t6.1</t>
  </si>
  <si>
    <t>t7.1</t>
  </si>
  <si>
    <t>t8.1</t>
  </si>
  <si>
    <t>t9.1</t>
  </si>
  <si>
    <t>Syringe vol (ml)</t>
  </si>
  <si>
    <t>Pressure (atm)</t>
  </si>
  <si>
    <t>Jar vol (ml)</t>
  </si>
  <si>
    <t>R (mL•atm/mol•K)</t>
  </si>
  <si>
    <t>T (K)</t>
  </si>
  <si>
    <t>n (mol)</t>
  </si>
  <si>
    <t>C (µg/µmol)</t>
  </si>
  <si>
    <t>Net CO2/
µg/g dry soil/h</t>
  </si>
  <si>
    <t>soil_dry</t>
  </si>
  <si>
    <t>CO2/h_calculated</t>
  </si>
  <si>
    <t>slope</t>
  </si>
  <si>
    <t>slope and flask volume</t>
  </si>
  <si>
    <t>cumulative</t>
  </si>
  <si>
    <t>668/9 = 72</t>
  </si>
  <si>
    <t>668 = hours closed total</t>
  </si>
  <si>
    <t>C_ug</t>
  </si>
  <si>
    <t>CO2-C/µg/h</t>
  </si>
  <si>
    <t>BFcomplex</t>
  </si>
  <si>
    <t>BFsimple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</si>
</sst>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3"/>
  <sheetViews>
    <sheetView tabSelected="1" zoomScale="93" workbookViewId="0">
      <selection activeCell="P6" sqref="P6"/>
    </sheetView>
  </sheetViews>
  <sheetFormatPr defaultColWidth="8.85546875" defaultRowHeight="15" x14ac:dyDescent="0.25"/>
  <cols>
    <col min="7" max="7" width="12.140625" bestFit="1" customWidth="1"/>
    <col min="11" max="11" width="10.28515625" customWidth="1"/>
  </cols>
  <sheetData>
    <row r="1" spans="1:22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27</v>
      </c>
      <c r="G1" s="2" t="s">
        <v>28</v>
      </c>
      <c r="H1" s="2" t="s">
        <v>29</v>
      </c>
      <c r="I1" s="2" t="s">
        <v>30</v>
      </c>
      <c r="J1" s="2" t="s">
        <v>5</v>
      </c>
      <c r="K1" s="3" t="s">
        <v>19</v>
      </c>
      <c r="L1" s="3" t="s">
        <v>20</v>
      </c>
      <c r="M1" s="3" t="s">
        <v>21</v>
      </c>
      <c r="N1" s="5" t="s">
        <v>22</v>
      </c>
      <c r="O1" s="3" t="s">
        <v>23</v>
      </c>
      <c r="P1" s="3" t="s">
        <v>24</v>
      </c>
      <c r="Q1" s="3" t="s">
        <v>25</v>
      </c>
      <c r="R1" s="5" t="s">
        <v>35</v>
      </c>
      <c r="S1" s="5" t="s">
        <v>34</v>
      </c>
      <c r="T1" s="5" t="s">
        <v>31</v>
      </c>
      <c r="U1" s="5" t="s">
        <v>26</v>
      </c>
    </row>
    <row r="2" spans="1:22" x14ac:dyDescent="0.25">
      <c r="A2" s="1">
        <v>37</v>
      </c>
      <c r="B2" t="s">
        <v>36</v>
      </c>
      <c r="C2" t="s">
        <v>8</v>
      </c>
      <c r="D2" t="s">
        <v>10</v>
      </c>
      <c r="E2">
        <v>46.333333333333336</v>
      </c>
      <c r="F2">
        <v>180</v>
      </c>
      <c r="G2">
        <v>478.01707043575146</v>
      </c>
      <c r="H2">
        <v>478.01707043575624</v>
      </c>
      <c r="I2">
        <f>H2*3000</f>
        <v>1434051.2113072688</v>
      </c>
      <c r="J2">
        <v>0.99974758852770818</v>
      </c>
      <c r="K2">
        <v>25</v>
      </c>
      <c r="L2">
        <v>1</v>
      </c>
      <c r="M2">
        <v>3000</v>
      </c>
      <c r="N2" s="6">
        <v>82.06</v>
      </c>
      <c r="O2">
        <v>296.14999999999998</v>
      </c>
      <c r="P2">
        <f>(L2*K2)/(N2*O2)</f>
        <v>1.0287189950781558E-3</v>
      </c>
      <c r="Q2">
        <v>12</v>
      </c>
      <c r="R2">
        <f>Q2*P2*I2</f>
        <v>17702.828651839507</v>
      </c>
      <c r="S2">
        <f>R2/F2</f>
        <v>98.349048065775037</v>
      </c>
      <c r="T2">
        <f>S2*72</f>
        <v>7081.1314607358026</v>
      </c>
      <c r="V2" t="s">
        <v>32</v>
      </c>
    </row>
    <row r="3" spans="1:22" x14ac:dyDescent="0.25">
      <c r="A3" s="1">
        <v>38</v>
      </c>
      <c r="B3" t="s">
        <v>36</v>
      </c>
      <c r="C3" t="s">
        <v>8</v>
      </c>
      <c r="D3" t="s">
        <v>10</v>
      </c>
      <c r="E3">
        <v>46.35</v>
      </c>
      <c r="F3">
        <v>180</v>
      </c>
      <c r="G3">
        <v>538.52941519938099</v>
      </c>
      <c r="H3">
        <v>538.52941519938599</v>
      </c>
      <c r="I3">
        <f t="shared" ref="I3:I66" si="0">H3*3000</f>
        <v>1615588.2455981579</v>
      </c>
      <c r="J3">
        <v>0.993582546102183</v>
      </c>
      <c r="K3">
        <v>25</v>
      </c>
      <c r="L3">
        <v>1</v>
      </c>
      <c r="M3">
        <v>3000</v>
      </c>
      <c r="N3">
        <v>82.06</v>
      </c>
      <c r="O3">
        <v>296.14999999999998</v>
      </c>
      <c r="P3">
        <f t="shared" ref="P3:P66" si="1">(L3*K3)/(N3*O3)</f>
        <v>1.0287189950781558E-3</v>
      </c>
      <c r="Q3">
        <v>12</v>
      </c>
      <c r="R3">
        <f t="shared" ref="R3:R66" si="2">Q3*P3*I3</f>
        <v>19943.835797661814</v>
      </c>
      <c r="S3">
        <f t="shared" ref="S3:S66" si="3">R3/F3</f>
        <v>110.79908776478786</v>
      </c>
      <c r="T3">
        <f t="shared" ref="T3:T66" si="4">S3*72</f>
        <v>7977.5343190647254</v>
      </c>
      <c r="V3" t="s">
        <v>33</v>
      </c>
    </row>
    <row r="4" spans="1:22" x14ac:dyDescent="0.25">
      <c r="A4" s="1">
        <v>39</v>
      </c>
      <c r="B4" t="s">
        <v>36</v>
      </c>
      <c r="C4" t="s">
        <v>8</v>
      </c>
      <c r="D4" t="s">
        <v>10</v>
      </c>
      <c r="E4">
        <v>46.366666666666667</v>
      </c>
      <c r="F4">
        <v>180</v>
      </c>
      <c r="G4">
        <v>1085.70897944539</v>
      </c>
      <c r="H4">
        <v>1085.7089794454075</v>
      </c>
      <c r="I4">
        <f t="shared" si="0"/>
        <v>3257126.9383362224</v>
      </c>
      <c r="J4">
        <v>0.99961827068507558</v>
      </c>
      <c r="K4">
        <v>25</v>
      </c>
      <c r="L4">
        <v>1</v>
      </c>
      <c r="M4">
        <v>3000</v>
      </c>
      <c r="N4">
        <v>82.06</v>
      </c>
      <c r="O4">
        <v>296.14999999999998</v>
      </c>
      <c r="P4">
        <f t="shared" si="1"/>
        <v>1.0287189950781558E-3</v>
      </c>
      <c r="Q4">
        <v>12</v>
      </c>
      <c r="R4">
        <f t="shared" si="2"/>
        <v>40208.020210166746</v>
      </c>
      <c r="S4">
        <f t="shared" si="3"/>
        <v>223.37789005648193</v>
      </c>
      <c r="T4">
        <f t="shared" si="4"/>
        <v>16083.208084066699</v>
      </c>
    </row>
    <row r="5" spans="1:22" x14ac:dyDescent="0.25">
      <c r="A5" s="1">
        <v>40</v>
      </c>
      <c r="B5" t="s">
        <v>36</v>
      </c>
      <c r="C5" t="s">
        <v>8</v>
      </c>
      <c r="D5" t="s">
        <v>10</v>
      </c>
      <c r="E5">
        <v>46.383333333333333</v>
      </c>
      <c r="F5">
        <v>180</v>
      </c>
      <c r="G5">
        <v>1035.4902415639717</v>
      </c>
      <c r="H5">
        <v>663.28938499582807</v>
      </c>
      <c r="I5">
        <f t="shared" si="0"/>
        <v>1989868.1549874842</v>
      </c>
      <c r="J5">
        <v>1</v>
      </c>
      <c r="K5">
        <v>25</v>
      </c>
      <c r="L5">
        <v>1</v>
      </c>
      <c r="M5">
        <v>3000</v>
      </c>
      <c r="N5">
        <v>82.06</v>
      </c>
      <c r="O5">
        <v>296.14999999999998</v>
      </c>
      <c r="P5">
        <f t="shared" si="1"/>
        <v>1.0287189950781558E-3</v>
      </c>
      <c r="Q5">
        <v>12</v>
      </c>
      <c r="R5">
        <f t="shared" si="2"/>
        <v>24564.182024840986</v>
      </c>
      <c r="S5">
        <f t="shared" si="3"/>
        <v>136.46767791578324</v>
      </c>
      <c r="T5">
        <f t="shared" si="4"/>
        <v>9825.6728099363936</v>
      </c>
    </row>
    <row r="6" spans="1:22" x14ac:dyDescent="0.25">
      <c r="A6" s="1">
        <v>41</v>
      </c>
      <c r="B6" t="s">
        <v>36</v>
      </c>
      <c r="C6" t="s">
        <v>9</v>
      </c>
      <c r="D6" t="s">
        <v>10</v>
      </c>
      <c r="E6">
        <v>46.4</v>
      </c>
      <c r="F6">
        <v>180</v>
      </c>
      <c r="G6">
        <v>3087.8228173120951</v>
      </c>
      <c r="H6">
        <v>3087.8228173121447</v>
      </c>
      <c r="I6">
        <f t="shared" si="0"/>
        <v>9263468.451936435</v>
      </c>
      <c r="J6">
        <v>0.99978296064683581</v>
      </c>
      <c r="K6">
        <v>25</v>
      </c>
      <c r="L6">
        <v>1</v>
      </c>
      <c r="M6">
        <v>3000</v>
      </c>
      <c r="N6">
        <v>82.06</v>
      </c>
      <c r="O6">
        <v>296.14999999999998</v>
      </c>
      <c r="P6">
        <f t="shared" si="1"/>
        <v>1.0287189950781558E-3</v>
      </c>
      <c r="Q6">
        <v>12</v>
      </c>
      <c r="R6">
        <f t="shared" si="2"/>
        <v>114354.07148177098</v>
      </c>
      <c r="S6">
        <f t="shared" si="3"/>
        <v>635.30039712094992</v>
      </c>
      <c r="T6">
        <f t="shared" si="4"/>
        <v>45741.628592708395</v>
      </c>
    </row>
    <row r="7" spans="1:22" x14ac:dyDescent="0.25">
      <c r="A7" s="1">
        <v>42</v>
      </c>
      <c r="B7" t="s">
        <v>36</v>
      </c>
      <c r="C7" t="s">
        <v>9</v>
      </c>
      <c r="D7" t="s">
        <v>10</v>
      </c>
      <c r="E7">
        <v>46.416666666666664</v>
      </c>
      <c r="F7">
        <v>180</v>
      </c>
      <c r="G7">
        <v>1697.50202018815</v>
      </c>
      <c r="H7">
        <v>1697.5020201881666</v>
      </c>
      <c r="I7">
        <f t="shared" si="0"/>
        <v>5092506.0605645003</v>
      </c>
      <c r="J7">
        <v>0.99874191131566492</v>
      </c>
      <c r="K7">
        <v>25</v>
      </c>
      <c r="L7">
        <v>1</v>
      </c>
      <c r="M7">
        <v>3000</v>
      </c>
      <c r="N7">
        <v>82.06</v>
      </c>
      <c r="O7">
        <v>296.14999999999998</v>
      </c>
      <c r="P7">
        <f t="shared" si="1"/>
        <v>1.0287189950781558E-3</v>
      </c>
      <c r="Q7">
        <v>12</v>
      </c>
      <c r="R7">
        <f t="shared" si="2"/>
        <v>62865.092604639969</v>
      </c>
      <c r="S7">
        <f t="shared" si="3"/>
        <v>349.25051447022207</v>
      </c>
      <c r="T7">
        <f t="shared" si="4"/>
        <v>25146.037041855991</v>
      </c>
    </row>
    <row r="8" spans="1:22" x14ac:dyDescent="0.25">
      <c r="A8" s="1">
        <v>43</v>
      </c>
      <c r="B8" t="s">
        <v>36</v>
      </c>
      <c r="C8" t="s">
        <v>9</v>
      </c>
      <c r="D8" t="s">
        <v>10</v>
      </c>
      <c r="E8">
        <v>46.43333333333333</v>
      </c>
      <c r="F8">
        <v>180</v>
      </c>
      <c r="G8">
        <v>8074.1312661590509</v>
      </c>
      <c r="H8">
        <v>8074.1312661591419</v>
      </c>
      <c r="I8">
        <f t="shared" si="0"/>
        <v>24222393.798477426</v>
      </c>
      <c r="J8">
        <v>0.97645131300533139</v>
      </c>
      <c r="K8">
        <v>25</v>
      </c>
      <c r="L8">
        <v>1</v>
      </c>
      <c r="M8">
        <v>3000</v>
      </c>
      <c r="N8">
        <v>82.06</v>
      </c>
      <c r="O8">
        <v>296.14999999999998</v>
      </c>
      <c r="P8">
        <f t="shared" si="1"/>
        <v>1.0287189950781558E-3</v>
      </c>
      <c r="Q8">
        <v>12</v>
      </c>
      <c r="R8">
        <f t="shared" si="2"/>
        <v>299016.43928108463</v>
      </c>
      <c r="S8">
        <f t="shared" si="3"/>
        <v>1661.2024404504702</v>
      </c>
      <c r="T8">
        <f t="shared" si="4"/>
        <v>119606.57571243386</v>
      </c>
    </row>
    <row r="9" spans="1:22" x14ac:dyDescent="0.25">
      <c r="A9" s="1">
        <v>44</v>
      </c>
      <c r="B9" t="s">
        <v>36</v>
      </c>
      <c r="C9" t="s">
        <v>9</v>
      </c>
      <c r="D9" t="s">
        <v>10</v>
      </c>
      <c r="E9">
        <v>46.45</v>
      </c>
      <c r="F9">
        <v>180</v>
      </c>
      <c r="G9">
        <v>1590.1678838544199</v>
      </c>
      <c r="H9">
        <v>1590.1678838544349</v>
      </c>
      <c r="I9">
        <f t="shared" si="0"/>
        <v>4770503.6515633045</v>
      </c>
      <c r="J9">
        <v>0.99689353687910387</v>
      </c>
      <c r="K9">
        <v>25</v>
      </c>
      <c r="L9">
        <v>1</v>
      </c>
      <c r="M9">
        <v>3000</v>
      </c>
      <c r="N9">
        <v>82.06</v>
      </c>
      <c r="O9">
        <v>296.14999999999998</v>
      </c>
      <c r="P9">
        <f t="shared" si="1"/>
        <v>1.0287189950781558E-3</v>
      </c>
      <c r="Q9">
        <v>12</v>
      </c>
      <c r="R9">
        <f t="shared" si="2"/>
        <v>58890.092669434503</v>
      </c>
      <c r="S9">
        <f t="shared" si="3"/>
        <v>327.16718149685835</v>
      </c>
      <c r="T9">
        <f t="shared" si="4"/>
        <v>23556.037067773803</v>
      </c>
    </row>
    <row r="10" spans="1:22" x14ac:dyDescent="0.25">
      <c r="A10" s="1">
        <v>45</v>
      </c>
      <c r="B10" t="s">
        <v>6</v>
      </c>
      <c r="C10" t="s">
        <v>8</v>
      </c>
      <c r="D10" t="s">
        <v>10</v>
      </c>
      <c r="E10">
        <v>45.466666666666669</v>
      </c>
      <c r="F10">
        <v>180</v>
      </c>
      <c r="G10">
        <v>4133.2628589787055</v>
      </c>
      <c r="H10">
        <v>4133.2628589787219</v>
      </c>
      <c r="I10">
        <f t="shared" si="0"/>
        <v>12399788.576936165</v>
      </c>
      <c r="J10">
        <v>0.99558704665412434</v>
      </c>
      <c r="K10">
        <v>25</v>
      </c>
      <c r="L10">
        <v>1</v>
      </c>
      <c r="M10">
        <v>3000</v>
      </c>
      <c r="N10">
        <v>82.06</v>
      </c>
      <c r="O10">
        <v>296.14999999999998</v>
      </c>
      <c r="P10">
        <f t="shared" si="1"/>
        <v>1.0287189950781558E-3</v>
      </c>
      <c r="Q10">
        <v>12</v>
      </c>
      <c r="R10">
        <f t="shared" si="2"/>
        <v>153070.77652856841</v>
      </c>
      <c r="S10">
        <f t="shared" si="3"/>
        <v>850.39320293649121</v>
      </c>
      <c r="T10">
        <f t="shared" si="4"/>
        <v>61228.310611427369</v>
      </c>
    </row>
    <row r="11" spans="1:22" x14ac:dyDescent="0.25">
      <c r="A11" s="1">
        <v>46</v>
      </c>
      <c r="B11" t="s">
        <v>6</v>
      </c>
      <c r="C11" t="s">
        <v>8</v>
      </c>
      <c r="D11" t="s">
        <v>10</v>
      </c>
      <c r="E11">
        <v>45.483333333333334</v>
      </c>
      <c r="F11">
        <v>180</v>
      </c>
      <c r="G11">
        <v>1187.6394148184149</v>
      </c>
      <c r="H11">
        <v>1187.6394148184197</v>
      </c>
      <c r="I11">
        <f t="shared" si="0"/>
        <v>3562918.2444552593</v>
      </c>
      <c r="J11">
        <v>0.99988115355687202</v>
      </c>
      <c r="K11">
        <v>25</v>
      </c>
      <c r="L11">
        <v>1</v>
      </c>
      <c r="M11">
        <v>3000</v>
      </c>
      <c r="N11">
        <v>82.06</v>
      </c>
      <c r="O11">
        <v>296.14999999999998</v>
      </c>
      <c r="P11">
        <f t="shared" si="1"/>
        <v>1.0287189950781558E-3</v>
      </c>
      <c r="Q11">
        <v>12</v>
      </c>
      <c r="R11">
        <f t="shared" si="2"/>
        <v>43982.900111779694</v>
      </c>
      <c r="S11">
        <f t="shared" si="3"/>
        <v>244.34944506544275</v>
      </c>
      <c r="T11">
        <f t="shared" si="4"/>
        <v>17593.160044711876</v>
      </c>
    </row>
    <row r="12" spans="1:22" x14ac:dyDescent="0.25">
      <c r="A12" s="1">
        <v>47</v>
      </c>
      <c r="B12" t="s">
        <v>6</v>
      </c>
      <c r="C12" t="s">
        <v>8</v>
      </c>
      <c r="D12" t="s">
        <v>10</v>
      </c>
      <c r="E12">
        <v>45.5</v>
      </c>
      <c r="F12">
        <v>180</v>
      </c>
      <c r="G12">
        <v>356.21907127083955</v>
      </c>
      <c r="H12">
        <v>356.21907127084091</v>
      </c>
      <c r="I12">
        <f t="shared" si="0"/>
        <v>1068657.2138125228</v>
      </c>
      <c r="J12">
        <v>0.99791661025792178</v>
      </c>
      <c r="K12">
        <v>25</v>
      </c>
      <c r="L12">
        <v>1</v>
      </c>
      <c r="M12">
        <v>3000</v>
      </c>
      <c r="N12">
        <v>82.06</v>
      </c>
      <c r="O12">
        <v>296.14999999999998</v>
      </c>
      <c r="P12">
        <f t="shared" si="1"/>
        <v>1.0287189950781558E-3</v>
      </c>
      <c r="Q12">
        <v>12</v>
      </c>
      <c r="R12">
        <f t="shared" si="2"/>
        <v>13192.175700914884</v>
      </c>
      <c r="S12">
        <f t="shared" si="3"/>
        <v>73.289865005082689</v>
      </c>
      <c r="T12">
        <f t="shared" si="4"/>
        <v>5276.8702803659535</v>
      </c>
    </row>
    <row r="13" spans="1:22" x14ac:dyDescent="0.25">
      <c r="A13" s="1">
        <v>48</v>
      </c>
      <c r="B13" t="s">
        <v>6</v>
      </c>
      <c r="C13" t="s">
        <v>8</v>
      </c>
      <c r="D13" t="s">
        <v>10</v>
      </c>
      <c r="E13">
        <v>45.516666666666666</v>
      </c>
      <c r="F13">
        <v>180</v>
      </c>
      <c r="G13">
        <v>1211.451319639064</v>
      </c>
      <c r="H13">
        <v>1211.4513196390765</v>
      </c>
      <c r="I13">
        <f t="shared" si="0"/>
        <v>3634353.9589172294</v>
      </c>
      <c r="J13">
        <v>0.99814309690445446</v>
      </c>
      <c r="K13">
        <v>25</v>
      </c>
      <c r="L13">
        <v>1</v>
      </c>
      <c r="M13">
        <v>3000</v>
      </c>
      <c r="N13">
        <v>82.06</v>
      </c>
      <c r="O13">
        <v>296.14999999999998</v>
      </c>
      <c r="P13">
        <f t="shared" si="1"/>
        <v>1.0287189950781558E-3</v>
      </c>
      <c r="Q13">
        <v>12</v>
      </c>
      <c r="R13">
        <f t="shared" si="2"/>
        <v>44864.747428507791</v>
      </c>
      <c r="S13">
        <f t="shared" si="3"/>
        <v>249.24859682504328</v>
      </c>
      <c r="T13">
        <f t="shared" si="4"/>
        <v>17945.898971403116</v>
      </c>
    </row>
    <row r="14" spans="1:22" x14ac:dyDescent="0.25">
      <c r="A14" s="1">
        <v>49</v>
      </c>
      <c r="B14" t="s">
        <v>6</v>
      </c>
      <c r="C14" t="s">
        <v>9</v>
      </c>
      <c r="D14" t="s">
        <v>10</v>
      </c>
      <c r="E14">
        <v>45.533333333333331</v>
      </c>
      <c r="F14">
        <v>180</v>
      </c>
      <c r="G14">
        <v>4094.5812789751344</v>
      </c>
      <c r="H14">
        <v>4094.5812789751508</v>
      </c>
      <c r="I14">
        <f t="shared" si="0"/>
        <v>12283743.836925453</v>
      </c>
      <c r="J14">
        <v>0.9997241605372934</v>
      </c>
      <c r="K14">
        <v>25</v>
      </c>
      <c r="L14">
        <v>1</v>
      </c>
      <c r="M14">
        <v>3000</v>
      </c>
      <c r="N14">
        <v>82.06</v>
      </c>
      <c r="O14">
        <v>296.14999999999998</v>
      </c>
      <c r="P14">
        <f t="shared" si="1"/>
        <v>1.0287189950781558E-3</v>
      </c>
      <c r="Q14">
        <v>12</v>
      </c>
      <c r="R14">
        <f t="shared" si="2"/>
        <v>151638.24738863329</v>
      </c>
      <c r="S14">
        <f t="shared" si="3"/>
        <v>842.43470771462933</v>
      </c>
      <c r="T14">
        <f t="shared" si="4"/>
        <v>60655.298955453312</v>
      </c>
    </row>
    <row r="15" spans="1:22" x14ac:dyDescent="0.25">
      <c r="A15" s="1">
        <v>50</v>
      </c>
      <c r="B15" t="s">
        <v>6</v>
      </c>
      <c r="C15" t="s">
        <v>9</v>
      </c>
      <c r="D15" t="s">
        <v>10</v>
      </c>
      <c r="E15">
        <v>45.55</v>
      </c>
      <c r="F15">
        <v>180</v>
      </c>
      <c r="G15">
        <v>870.51865766124592</v>
      </c>
      <c r="H15">
        <v>870.51865766124945</v>
      </c>
      <c r="I15">
        <f t="shared" si="0"/>
        <v>2611555.9729837482</v>
      </c>
      <c r="J15">
        <v>0.99945254183410814</v>
      </c>
      <c r="K15">
        <v>25</v>
      </c>
      <c r="L15">
        <v>1</v>
      </c>
      <c r="M15">
        <v>3000</v>
      </c>
      <c r="N15">
        <v>82.06</v>
      </c>
      <c r="O15">
        <v>296.14999999999998</v>
      </c>
      <c r="P15">
        <f t="shared" si="1"/>
        <v>1.0287189950781558E-3</v>
      </c>
      <c r="Q15">
        <v>12</v>
      </c>
      <c r="R15">
        <f t="shared" si="2"/>
        <v>32238.686833418364</v>
      </c>
      <c r="S15">
        <f t="shared" si="3"/>
        <v>179.10381574121314</v>
      </c>
      <c r="T15">
        <f t="shared" si="4"/>
        <v>12895.474733367346</v>
      </c>
    </row>
    <row r="16" spans="1:22" x14ac:dyDescent="0.25">
      <c r="A16" s="1">
        <v>51</v>
      </c>
      <c r="B16" t="s">
        <v>6</v>
      </c>
      <c r="C16" t="s">
        <v>9</v>
      </c>
      <c r="D16" t="s">
        <v>10</v>
      </c>
      <c r="E16">
        <v>45.56666666666667</v>
      </c>
      <c r="F16">
        <v>180</v>
      </c>
      <c r="G16">
        <v>390.47015480050544</v>
      </c>
      <c r="H16">
        <v>390.47015480051135</v>
      </c>
      <c r="I16">
        <f t="shared" si="0"/>
        <v>1171410.4644015341</v>
      </c>
      <c r="J16">
        <v>0.99578566367855381</v>
      </c>
      <c r="K16">
        <v>25</v>
      </c>
      <c r="L16">
        <v>1</v>
      </c>
      <c r="M16">
        <v>3000</v>
      </c>
      <c r="N16">
        <v>82.06</v>
      </c>
      <c r="O16">
        <v>296.14999999999998</v>
      </c>
      <c r="P16">
        <f t="shared" si="1"/>
        <v>1.0287189950781558E-3</v>
      </c>
      <c r="Q16">
        <v>12</v>
      </c>
      <c r="R16">
        <f t="shared" si="2"/>
        <v>14460.626349158183</v>
      </c>
      <c r="S16">
        <f t="shared" si="3"/>
        <v>80.336813050878789</v>
      </c>
      <c r="T16">
        <f t="shared" si="4"/>
        <v>5784.2505396632732</v>
      </c>
    </row>
    <row r="17" spans="1:20" x14ac:dyDescent="0.25">
      <c r="A17" s="1">
        <v>52</v>
      </c>
      <c r="B17" t="s">
        <v>6</v>
      </c>
      <c r="C17" t="s">
        <v>9</v>
      </c>
      <c r="D17" t="s">
        <v>10</v>
      </c>
      <c r="E17">
        <v>45.583333333333336</v>
      </c>
      <c r="F17">
        <v>180</v>
      </c>
      <c r="G17">
        <v>456.74132019824748</v>
      </c>
      <c r="H17">
        <v>456.7413201982518</v>
      </c>
      <c r="I17">
        <f t="shared" si="0"/>
        <v>1370223.9605947554</v>
      </c>
      <c r="J17">
        <v>0.99252897526129613</v>
      </c>
      <c r="K17">
        <v>25</v>
      </c>
      <c r="L17">
        <v>1</v>
      </c>
      <c r="M17">
        <v>3000</v>
      </c>
      <c r="N17">
        <v>82.06</v>
      </c>
      <c r="O17">
        <v>296.14999999999998</v>
      </c>
      <c r="P17">
        <f t="shared" si="1"/>
        <v>1.0287189950781558E-3</v>
      </c>
      <c r="Q17">
        <v>12</v>
      </c>
      <c r="R17">
        <f t="shared" si="2"/>
        <v>16914.904989300569</v>
      </c>
      <c r="S17">
        <f t="shared" si="3"/>
        <v>93.971694385003161</v>
      </c>
      <c r="T17">
        <f t="shared" si="4"/>
        <v>6765.9619957202276</v>
      </c>
    </row>
    <row r="18" spans="1:20" x14ac:dyDescent="0.25">
      <c r="A18" s="1">
        <v>53</v>
      </c>
      <c r="B18" t="s">
        <v>7</v>
      </c>
      <c r="C18" t="s">
        <v>8</v>
      </c>
      <c r="D18" t="s">
        <v>10</v>
      </c>
      <c r="E18">
        <v>49.6</v>
      </c>
      <c r="F18">
        <v>180</v>
      </c>
      <c r="G18">
        <v>258.68038923126403</v>
      </c>
      <c r="H18">
        <v>258.68038923126483</v>
      </c>
      <c r="I18">
        <f t="shared" si="0"/>
        <v>776041.16769379447</v>
      </c>
      <c r="J18">
        <v>0.92975968232934403</v>
      </c>
      <c r="K18">
        <v>25</v>
      </c>
      <c r="L18">
        <v>1</v>
      </c>
      <c r="M18">
        <v>3000</v>
      </c>
      <c r="N18">
        <v>82.06</v>
      </c>
      <c r="O18">
        <v>296.14999999999998</v>
      </c>
      <c r="P18">
        <f t="shared" si="1"/>
        <v>1.0287189950781558E-3</v>
      </c>
      <c r="Q18">
        <v>12</v>
      </c>
      <c r="R18">
        <f t="shared" si="2"/>
        <v>9579.9394820308662</v>
      </c>
      <c r="S18">
        <f t="shared" si="3"/>
        <v>53.221886011282592</v>
      </c>
      <c r="T18">
        <f t="shared" si="4"/>
        <v>3831.9757928123468</v>
      </c>
    </row>
    <row r="19" spans="1:20" x14ac:dyDescent="0.25">
      <c r="A19" s="1">
        <v>54</v>
      </c>
      <c r="B19" t="s">
        <v>7</v>
      </c>
      <c r="C19" t="s">
        <v>8</v>
      </c>
      <c r="D19" t="s">
        <v>10</v>
      </c>
      <c r="E19">
        <v>49.616666666666667</v>
      </c>
      <c r="F19">
        <v>180</v>
      </c>
      <c r="G19">
        <v>504.4336592881665</v>
      </c>
      <c r="H19">
        <v>504.4336592881715</v>
      </c>
      <c r="I19">
        <f t="shared" si="0"/>
        <v>1513300.9778645146</v>
      </c>
      <c r="J19">
        <v>0.9999988738755341</v>
      </c>
      <c r="K19">
        <v>25</v>
      </c>
      <c r="L19">
        <v>1</v>
      </c>
      <c r="M19">
        <v>3000</v>
      </c>
      <c r="N19">
        <v>82.06</v>
      </c>
      <c r="O19">
        <v>296.14999999999998</v>
      </c>
      <c r="P19">
        <f t="shared" si="1"/>
        <v>1.0287189950781558E-3</v>
      </c>
      <c r="Q19">
        <v>12</v>
      </c>
      <c r="R19">
        <f t="shared" si="2"/>
        <v>18681.137534394886</v>
      </c>
      <c r="S19">
        <f t="shared" si="3"/>
        <v>103.78409741330492</v>
      </c>
      <c r="T19">
        <f t="shared" si="4"/>
        <v>7472.4550137579545</v>
      </c>
    </row>
    <row r="20" spans="1:20" x14ac:dyDescent="0.25">
      <c r="A20" s="1">
        <v>55</v>
      </c>
      <c r="B20" t="s">
        <v>7</v>
      </c>
      <c r="C20" t="s">
        <v>8</v>
      </c>
      <c r="D20" t="s">
        <v>10</v>
      </c>
      <c r="E20">
        <v>49.633333333333333</v>
      </c>
      <c r="F20">
        <v>180</v>
      </c>
      <c r="G20">
        <v>1615.03457545432</v>
      </c>
      <c r="H20">
        <v>1615.0345754543162</v>
      </c>
      <c r="I20">
        <f t="shared" si="0"/>
        <v>4845103.7263629483</v>
      </c>
      <c r="J20">
        <v>0.99667394367117224</v>
      </c>
      <c r="K20">
        <v>25</v>
      </c>
      <c r="L20">
        <v>1</v>
      </c>
      <c r="M20">
        <v>3000</v>
      </c>
      <c r="N20">
        <v>82.06</v>
      </c>
      <c r="O20">
        <v>296.14999999999998</v>
      </c>
      <c r="P20">
        <f t="shared" si="1"/>
        <v>1.0287189950781558E-3</v>
      </c>
      <c r="Q20">
        <v>12</v>
      </c>
      <c r="R20">
        <f t="shared" si="2"/>
        <v>59811.002837202243</v>
      </c>
      <c r="S20">
        <f t="shared" si="3"/>
        <v>332.28334909556804</v>
      </c>
      <c r="T20">
        <f t="shared" si="4"/>
        <v>23924.4011348809</v>
      </c>
    </row>
    <row r="21" spans="1:20" x14ac:dyDescent="0.25">
      <c r="A21" s="1">
        <v>56</v>
      </c>
      <c r="B21" t="s">
        <v>7</v>
      </c>
      <c r="C21" t="s">
        <v>8</v>
      </c>
      <c r="D21" t="s">
        <v>10</v>
      </c>
      <c r="E21">
        <v>49.65</v>
      </c>
      <c r="F21">
        <v>180</v>
      </c>
      <c r="G21">
        <v>1844.6361328371352</v>
      </c>
      <c r="H21">
        <v>1844.6361328371549</v>
      </c>
      <c r="I21">
        <f t="shared" si="0"/>
        <v>5533908.3985114647</v>
      </c>
      <c r="J21">
        <v>0.99236885538010156</v>
      </c>
      <c r="K21">
        <v>25</v>
      </c>
      <c r="L21">
        <v>1</v>
      </c>
      <c r="M21">
        <v>3000</v>
      </c>
      <c r="N21">
        <v>82.06</v>
      </c>
      <c r="O21">
        <v>296.14999999999998</v>
      </c>
      <c r="P21">
        <f t="shared" si="1"/>
        <v>1.0287189950781558E-3</v>
      </c>
      <c r="Q21">
        <v>12</v>
      </c>
      <c r="R21">
        <f t="shared" si="2"/>
        <v>68314.040238855363</v>
      </c>
      <c r="S21">
        <f t="shared" si="3"/>
        <v>379.52244577141869</v>
      </c>
      <c r="T21">
        <f t="shared" si="4"/>
        <v>27325.616095542144</v>
      </c>
    </row>
    <row r="22" spans="1:20" x14ac:dyDescent="0.25">
      <c r="A22" s="1">
        <v>57</v>
      </c>
      <c r="B22" t="s">
        <v>7</v>
      </c>
      <c r="C22" t="s">
        <v>9</v>
      </c>
      <c r="D22" t="s">
        <v>10</v>
      </c>
      <c r="E22">
        <v>49.666666666666664</v>
      </c>
      <c r="F22">
        <v>180</v>
      </c>
      <c r="G22">
        <v>258.562418714611</v>
      </c>
      <c r="H22">
        <v>258.56241871461339</v>
      </c>
      <c r="I22">
        <f t="shared" si="0"/>
        <v>775687.25614384015</v>
      </c>
      <c r="J22">
        <v>0.99589181221825962</v>
      </c>
      <c r="K22">
        <v>25</v>
      </c>
      <c r="L22">
        <v>1</v>
      </c>
      <c r="M22">
        <v>3000</v>
      </c>
      <c r="N22">
        <v>82.06</v>
      </c>
      <c r="O22">
        <v>296.14999999999998</v>
      </c>
      <c r="P22">
        <f t="shared" si="1"/>
        <v>1.0287189950781558E-3</v>
      </c>
      <c r="Q22">
        <v>12</v>
      </c>
      <c r="R22">
        <f t="shared" si="2"/>
        <v>9575.5705756226798</v>
      </c>
      <c r="S22">
        <f t="shared" si="3"/>
        <v>53.197614309014888</v>
      </c>
      <c r="T22">
        <f t="shared" si="4"/>
        <v>3830.2282302490721</v>
      </c>
    </row>
    <row r="23" spans="1:20" x14ac:dyDescent="0.25">
      <c r="A23" s="1">
        <v>58</v>
      </c>
      <c r="B23" t="s">
        <v>7</v>
      </c>
      <c r="C23" t="s">
        <v>9</v>
      </c>
      <c r="D23" t="s">
        <v>10</v>
      </c>
      <c r="E23">
        <v>49.68333333333333</v>
      </c>
      <c r="F23">
        <v>180</v>
      </c>
      <c r="G23">
        <v>248.79217462468455</v>
      </c>
      <c r="H23">
        <v>248.79217462468554</v>
      </c>
      <c r="I23">
        <f t="shared" si="0"/>
        <v>746376.52387405664</v>
      </c>
      <c r="J23">
        <v>0.9976335467323203</v>
      </c>
      <c r="K23">
        <v>25</v>
      </c>
      <c r="L23">
        <v>1</v>
      </c>
      <c r="M23">
        <v>3000</v>
      </c>
      <c r="N23">
        <v>82.06</v>
      </c>
      <c r="O23">
        <v>296.14999999999998</v>
      </c>
      <c r="P23">
        <f t="shared" si="1"/>
        <v>1.0287189950781558E-3</v>
      </c>
      <c r="Q23">
        <v>12</v>
      </c>
      <c r="R23">
        <f t="shared" si="2"/>
        <v>9213.7404910757614</v>
      </c>
      <c r="S23">
        <f t="shared" si="3"/>
        <v>51.187447172643118</v>
      </c>
      <c r="T23">
        <f t="shared" si="4"/>
        <v>3685.4961964303047</v>
      </c>
    </row>
    <row r="24" spans="1:20" x14ac:dyDescent="0.25">
      <c r="A24" s="1">
        <v>59</v>
      </c>
      <c r="B24" t="s">
        <v>7</v>
      </c>
      <c r="C24" t="s">
        <v>9</v>
      </c>
      <c r="D24" t="s">
        <v>10</v>
      </c>
      <c r="E24">
        <v>49.7</v>
      </c>
      <c r="F24">
        <v>180</v>
      </c>
      <c r="G24">
        <v>2335.1881182789998</v>
      </c>
      <c r="H24">
        <v>2335.1881182790094</v>
      </c>
      <c r="I24">
        <f t="shared" si="0"/>
        <v>7005564.3548370283</v>
      </c>
      <c r="J24">
        <v>0.99999952765070188</v>
      </c>
      <c r="K24">
        <v>25</v>
      </c>
      <c r="L24">
        <v>1</v>
      </c>
      <c r="M24">
        <v>3000</v>
      </c>
      <c r="N24">
        <v>82.06</v>
      </c>
      <c r="O24">
        <v>296.14999999999998</v>
      </c>
      <c r="P24">
        <f t="shared" si="1"/>
        <v>1.0287189950781558E-3</v>
      </c>
      <c r="Q24">
        <v>12</v>
      </c>
      <c r="R24">
        <f t="shared" si="2"/>
        <v>86481.085476759559</v>
      </c>
      <c r="S24">
        <f t="shared" si="3"/>
        <v>480.45047487088647</v>
      </c>
      <c r="T24">
        <f t="shared" si="4"/>
        <v>34592.434190703825</v>
      </c>
    </row>
    <row r="25" spans="1:20" x14ac:dyDescent="0.25">
      <c r="A25" s="1">
        <v>60</v>
      </c>
      <c r="B25" t="s">
        <v>7</v>
      </c>
      <c r="C25" t="s">
        <v>9</v>
      </c>
      <c r="D25" t="s">
        <v>10</v>
      </c>
      <c r="E25">
        <v>49.716666666666669</v>
      </c>
      <c r="F25">
        <v>180</v>
      </c>
      <c r="G25">
        <v>2428.823225961235</v>
      </c>
      <c r="H25">
        <v>2428.8232259612601</v>
      </c>
      <c r="I25">
        <f t="shared" si="0"/>
        <v>7286469.6778837806</v>
      </c>
      <c r="J25">
        <v>0.99718062157260068</v>
      </c>
      <c r="K25">
        <v>25</v>
      </c>
      <c r="L25">
        <v>1</v>
      </c>
      <c r="M25">
        <v>3000</v>
      </c>
      <c r="N25">
        <v>82.06</v>
      </c>
      <c r="O25">
        <v>296.14999999999998</v>
      </c>
      <c r="P25">
        <f t="shared" si="1"/>
        <v>1.0287189950781558E-3</v>
      </c>
      <c r="Q25">
        <v>12</v>
      </c>
      <c r="R25">
        <f t="shared" si="2"/>
        <v>89948.757176400672</v>
      </c>
      <c r="S25">
        <f t="shared" si="3"/>
        <v>499.71531764667037</v>
      </c>
      <c r="T25">
        <f t="shared" si="4"/>
        <v>35979.502870560267</v>
      </c>
    </row>
    <row r="26" spans="1:20" x14ac:dyDescent="0.25">
      <c r="A26" s="1">
        <v>37</v>
      </c>
      <c r="B26" t="s">
        <v>36</v>
      </c>
      <c r="C26" t="s">
        <v>8</v>
      </c>
      <c r="D26" t="s">
        <v>11</v>
      </c>
      <c r="E26">
        <v>95.25</v>
      </c>
      <c r="F26">
        <v>180</v>
      </c>
      <c r="G26">
        <v>998.90823531026001</v>
      </c>
      <c r="H26">
        <v>998.90823531027559</v>
      </c>
      <c r="I26">
        <f t="shared" si="0"/>
        <v>2996724.7059308267</v>
      </c>
      <c r="J26">
        <v>0.99997473377601276</v>
      </c>
      <c r="K26">
        <v>25</v>
      </c>
      <c r="L26">
        <v>1</v>
      </c>
      <c r="M26">
        <v>3000</v>
      </c>
      <c r="N26">
        <v>82.06</v>
      </c>
      <c r="O26">
        <v>296.14999999999998</v>
      </c>
      <c r="P26">
        <f t="shared" si="1"/>
        <v>1.0287189950781558E-3</v>
      </c>
      <c r="Q26">
        <v>12</v>
      </c>
      <c r="R26">
        <f t="shared" si="2"/>
        <v>36993.451536132503</v>
      </c>
      <c r="S26">
        <f t="shared" si="3"/>
        <v>205.51917520073613</v>
      </c>
      <c r="T26">
        <f t="shared" si="4"/>
        <v>14797.380614453001</v>
      </c>
    </row>
    <row r="27" spans="1:20" x14ac:dyDescent="0.25">
      <c r="A27" s="1">
        <v>38</v>
      </c>
      <c r="B27" t="s">
        <v>36</v>
      </c>
      <c r="C27" t="s">
        <v>8</v>
      </c>
      <c r="D27" t="s">
        <v>11</v>
      </c>
      <c r="E27">
        <v>95.25</v>
      </c>
      <c r="F27">
        <v>180</v>
      </c>
      <c r="G27">
        <v>2259.6701728450503</v>
      </c>
      <c r="H27">
        <v>2259.6701728450867</v>
      </c>
      <c r="I27">
        <f t="shared" si="0"/>
        <v>6779010.5185352601</v>
      </c>
      <c r="J27">
        <v>0.99792968255617387</v>
      </c>
      <c r="K27">
        <v>25</v>
      </c>
      <c r="L27">
        <v>1</v>
      </c>
      <c r="M27">
        <v>3000</v>
      </c>
      <c r="N27">
        <v>82.06</v>
      </c>
      <c r="O27">
        <v>296.14999999999998</v>
      </c>
      <c r="P27">
        <f t="shared" si="1"/>
        <v>1.0287189950781558E-3</v>
      </c>
      <c r="Q27">
        <v>12</v>
      </c>
      <c r="R27">
        <f t="shared" si="2"/>
        <v>83684.362659022081</v>
      </c>
      <c r="S27">
        <f t="shared" si="3"/>
        <v>464.91312588345602</v>
      </c>
      <c r="T27">
        <f t="shared" si="4"/>
        <v>33473.745063608832</v>
      </c>
    </row>
    <row r="28" spans="1:20" x14ac:dyDescent="0.25">
      <c r="A28" s="1">
        <v>39</v>
      </c>
      <c r="B28" t="s">
        <v>36</v>
      </c>
      <c r="C28" t="s">
        <v>8</v>
      </c>
      <c r="D28" t="s">
        <v>11</v>
      </c>
      <c r="E28">
        <v>95.266666666666666</v>
      </c>
      <c r="F28">
        <v>180</v>
      </c>
      <c r="G28">
        <v>3631.2604031639148</v>
      </c>
      <c r="H28">
        <v>3631.2604031639298</v>
      </c>
      <c r="I28">
        <f t="shared" si="0"/>
        <v>10893781.209491789</v>
      </c>
      <c r="J28">
        <v>0.99823830294079396</v>
      </c>
      <c r="K28">
        <v>25</v>
      </c>
      <c r="L28">
        <v>1</v>
      </c>
      <c r="M28">
        <v>3000</v>
      </c>
      <c r="N28">
        <v>82.06</v>
      </c>
      <c r="O28">
        <v>296.14999999999998</v>
      </c>
      <c r="P28">
        <f t="shared" si="1"/>
        <v>1.0287189950781558E-3</v>
      </c>
      <c r="Q28">
        <v>12</v>
      </c>
      <c r="R28">
        <f t="shared" si="2"/>
        <v>134479.6759011563</v>
      </c>
      <c r="S28">
        <f t="shared" si="3"/>
        <v>747.10931056197944</v>
      </c>
      <c r="T28">
        <f t="shared" si="4"/>
        <v>53791.870360462519</v>
      </c>
    </row>
    <row r="29" spans="1:20" x14ac:dyDescent="0.25">
      <c r="A29" s="1">
        <v>40</v>
      </c>
      <c r="B29" t="s">
        <v>36</v>
      </c>
      <c r="C29" t="s">
        <v>8</v>
      </c>
      <c r="D29" t="s">
        <v>11</v>
      </c>
      <c r="E29">
        <v>95.266666666666666</v>
      </c>
      <c r="F29">
        <v>180</v>
      </c>
      <c r="G29">
        <v>471.84475890809551</v>
      </c>
      <c r="H29">
        <v>471.8447589080975</v>
      </c>
      <c r="I29">
        <f t="shared" si="0"/>
        <v>1415534.2767242924</v>
      </c>
      <c r="J29">
        <v>0.99588181426277644</v>
      </c>
      <c r="K29">
        <v>25</v>
      </c>
      <c r="L29">
        <v>1</v>
      </c>
      <c r="M29">
        <v>3000</v>
      </c>
      <c r="N29">
        <v>82.06</v>
      </c>
      <c r="O29">
        <v>296.14999999999998</v>
      </c>
      <c r="P29">
        <f t="shared" si="1"/>
        <v>1.0287189950781558E-3</v>
      </c>
      <c r="Q29">
        <v>12</v>
      </c>
      <c r="R29">
        <f t="shared" si="2"/>
        <v>17474.24398380598</v>
      </c>
      <c r="S29">
        <f t="shared" si="3"/>
        <v>97.079133243366556</v>
      </c>
      <c r="T29">
        <f t="shared" si="4"/>
        <v>6989.6975935223918</v>
      </c>
    </row>
    <row r="30" spans="1:20" x14ac:dyDescent="0.25">
      <c r="A30" s="1">
        <v>41</v>
      </c>
      <c r="B30" t="s">
        <v>36</v>
      </c>
      <c r="C30" t="s">
        <v>9</v>
      </c>
      <c r="D30" t="s">
        <v>11</v>
      </c>
      <c r="E30">
        <v>95.283333333333331</v>
      </c>
      <c r="F30">
        <v>180</v>
      </c>
      <c r="G30">
        <v>2248.1933590239851</v>
      </c>
      <c r="H30">
        <v>2248.193359024021</v>
      </c>
      <c r="I30">
        <f t="shared" si="0"/>
        <v>6744580.0770720625</v>
      </c>
      <c r="J30">
        <v>0.99950121309312179</v>
      </c>
      <c r="K30">
        <v>25</v>
      </c>
      <c r="L30">
        <v>1</v>
      </c>
      <c r="M30">
        <v>3000</v>
      </c>
      <c r="N30">
        <v>82.06</v>
      </c>
      <c r="O30">
        <v>296.14999999999998</v>
      </c>
      <c r="P30">
        <f t="shared" si="1"/>
        <v>1.0287189950781558E-3</v>
      </c>
      <c r="Q30">
        <v>12</v>
      </c>
      <c r="R30">
        <f t="shared" si="2"/>
        <v>83259.331669316671</v>
      </c>
      <c r="S30">
        <f t="shared" si="3"/>
        <v>462.55184260731482</v>
      </c>
      <c r="T30">
        <f t="shared" si="4"/>
        <v>33303.732667726668</v>
      </c>
    </row>
    <row r="31" spans="1:20" x14ac:dyDescent="0.25">
      <c r="A31" s="1">
        <v>42</v>
      </c>
      <c r="B31" t="s">
        <v>36</v>
      </c>
      <c r="C31" t="s">
        <v>9</v>
      </c>
      <c r="D31" t="s">
        <v>11</v>
      </c>
      <c r="E31">
        <v>95.283333333333331</v>
      </c>
      <c r="F31">
        <v>180</v>
      </c>
      <c r="G31">
        <v>1416.0256765722997</v>
      </c>
      <c r="H31">
        <v>1416.0256765723223</v>
      </c>
      <c r="I31">
        <f t="shared" si="0"/>
        <v>4248077.0297169667</v>
      </c>
      <c r="J31">
        <v>0.99960094005018152</v>
      </c>
      <c r="K31">
        <v>25</v>
      </c>
      <c r="L31">
        <v>1</v>
      </c>
      <c r="M31">
        <v>3000</v>
      </c>
      <c r="N31">
        <v>82.06</v>
      </c>
      <c r="O31">
        <v>296.14999999999998</v>
      </c>
      <c r="P31">
        <f t="shared" si="1"/>
        <v>1.0287189950781558E-3</v>
      </c>
      <c r="Q31">
        <v>12</v>
      </c>
      <c r="R31">
        <f t="shared" si="2"/>
        <v>52440.93039630042</v>
      </c>
      <c r="S31">
        <f t="shared" si="3"/>
        <v>291.33850220166903</v>
      </c>
      <c r="T31">
        <f t="shared" si="4"/>
        <v>20976.372158520171</v>
      </c>
    </row>
    <row r="32" spans="1:20" x14ac:dyDescent="0.25">
      <c r="A32" s="1">
        <v>43</v>
      </c>
      <c r="B32" t="s">
        <v>36</v>
      </c>
      <c r="C32" t="s">
        <v>9</v>
      </c>
      <c r="D32" t="s">
        <v>11</v>
      </c>
      <c r="E32">
        <v>95.3</v>
      </c>
      <c r="F32">
        <v>180</v>
      </c>
      <c r="G32">
        <v>2808.4141726694852</v>
      </c>
      <c r="H32">
        <v>2808.4141726695298</v>
      </c>
      <c r="I32">
        <f t="shared" si="0"/>
        <v>8425242.5180085897</v>
      </c>
      <c r="J32">
        <v>0.99977166375874293</v>
      </c>
      <c r="K32">
        <v>25</v>
      </c>
      <c r="L32">
        <v>1</v>
      </c>
      <c r="M32">
        <v>3000</v>
      </c>
      <c r="N32">
        <v>82.06</v>
      </c>
      <c r="O32">
        <v>296.14999999999998</v>
      </c>
      <c r="P32">
        <f t="shared" si="1"/>
        <v>1.0287189950781558E-3</v>
      </c>
      <c r="Q32">
        <v>12</v>
      </c>
      <c r="R32">
        <f t="shared" si="2"/>
        <v>104006.48419698657</v>
      </c>
      <c r="S32">
        <f t="shared" si="3"/>
        <v>577.81380109436986</v>
      </c>
      <c r="T32">
        <f t="shared" si="4"/>
        <v>41602.593678794627</v>
      </c>
    </row>
    <row r="33" spans="1:20" x14ac:dyDescent="0.25">
      <c r="A33" s="1">
        <v>44</v>
      </c>
      <c r="B33" t="s">
        <v>36</v>
      </c>
      <c r="C33" t="s">
        <v>9</v>
      </c>
      <c r="D33" t="s">
        <v>11</v>
      </c>
      <c r="E33">
        <v>95.3</v>
      </c>
      <c r="F33">
        <v>180</v>
      </c>
      <c r="G33">
        <v>1189.6990390829849</v>
      </c>
      <c r="H33">
        <v>1189.6990390830026</v>
      </c>
      <c r="I33">
        <f t="shared" si="0"/>
        <v>3569097.1172490078</v>
      </c>
      <c r="J33">
        <v>0.9901699349842279</v>
      </c>
      <c r="K33">
        <v>25</v>
      </c>
      <c r="L33">
        <v>1</v>
      </c>
      <c r="M33">
        <v>3000</v>
      </c>
      <c r="N33">
        <v>82.06</v>
      </c>
      <c r="O33">
        <v>296.14999999999998</v>
      </c>
      <c r="P33">
        <f t="shared" si="1"/>
        <v>1.0287189950781558E-3</v>
      </c>
      <c r="Q33">
        <v>12</v>
      </c>
      <c r="R33">
        <f t="shared" si="2"/>
        <v>44059.175997512903</v>
      </c>
      <c r="S33">
        <f t="shared" si="3"/>
        <v>244.77319998618279</v>
      </c>
      <c r="T33">
        <f t="shared" si="4"/>
        <v>17623.670399005161</v>
      </c>
    </row>
    <row r="34" spans="1:20" x14ac:dyDescent="0.25">
      <c r="A34" s="1">
        <v>45</v>
      </c>
      <c r="B34" t="s">
        <v>6</v>
      </c>
      <c r="C34" t="s">
        <v>8</v>
      </c>
      <c r="D34" t="s">
        <v>11</v>
      </c>
      <c r="E34">
        <v>94.333333333333329</v>
      </c>
      <c r="F34">
        <v>180</v>
      </c>
      <c r="G34">
        <v>2035.0891613254651</v>
      </c>
      <c r="H34">
        <v>2035.089161325498</v>
      </c>
      <c r="I34">
        <f t="shared" si="0"/>
        <v>6105267.4839764945</v>
      </c>
      <c r="J34">
        <v>0.99991288884286755</v>
      </c>
      <c r="K34">
        <v>25</v>
      </c>
      <c r="L34">
        <v>1</v>
      </c>
      <c r="M34">
        <v>3000</v>
      </c>
      <c r="N34">
        <v>82.06</v>
      </c>
      <c r="O34">
        <v>296.14999999999998</v>
      </c>
      <c r="P34">
        <f t="shared" si="1"/>
        <v>1.0287189950781558E-3</v>
      </c>
      <c r="Q34">
        <v>12</v>
      </c>
      <c r="R34">
        <f t="shared" si="2"/>
        <v>75367.255569595683</v>
      </c>
      <c r="S34">
        <f t="shared" si="3"/>
        <v>418.70697538664268</v>
      </c>
      <c r="T34">
        <f t="shared" si="4"/>
        <v>30146.902227838273</v>
      </c>
    </row>
    <row r="35" spans="1:20" x14ac:dyDescent="0.25">
      <c r="A35" s="1">
        <v>46</v>
      </c>
      <c r="B35" t="s">
        <v>6</v>
      </c>
      <c r="C35" t="s">
        <v>8</v>
      </c>
      <c r="D35" t="s">
        <v>11</v>
      </c>
      <c r="E35">
        <v>94.333333333333329</v>
      </c>
      <c r="F35">
        <v>180</v>
      </c>
      <c r="G35">
        <v>893.31579643549992</v>
      </c>
      <c r="H35">
        <v>893.31579643549321</v>
      </c>
      <c r="I35">
        <f t="shared" si="0"/>
        <v>2679947.3893064796</v>
      </c>
      <c r="J35">
        <v>1</v>
      </c>
      <c r="K35">
        <v>25</v>
      </c>
      <c r="L35">
        <v>1</v>
      </c>
      <c r="M35">
        <v>3000</v>
      </c>
      <c r="N35">
        <v>82.06</v>
      </c>
      <c r="O35">
        <v>296.14999999999998</v>
      </c>
      <c r="P35">
        <f t="shared" si="1"/>
        <v>1.0287189950781558E-3</v>
      </c>
      <c r="Q35">
        <v>12</v>
      </c>
      <c r="R35">
        <f t="shared" si="2"/>
        <v>33082.953422276267</v>
      </c>
      <c r="S35">
        <f t="shared" si="3"/>
        <v>183.79418567931259</v>
      </c>
      <c r="T35">
        <f t="shared" si="4"/>
        <v>13233.181368910507</v>
      </c>
    </row>
    <row r="36" spans="1:20" x14ac:dyDescent="0.25">
      <c r="A36" s="1">
        <v>47</v>
      </c>
      <c r="B36" t="s">
        <v>6</v>
      </c>
      <c r="C36" t="s">
        <v>8</v>
      </c>
      <c r="D36" t="s">
        <v>11</v>
      </c>
      <c r="E36">
        <v>94.35</v>
      </c>
      <c r="F36">
        <v>180</v>
      </c>
      <c r="G36">
        <v>106.81819017189548</v>
      </c>
      <c r="H36">
        <v>106.81819017189702</v>
      </c>
      <c r="I36">
        <f t="shared" si="0"/>
        <v>320454.57051569107</v>
      </c>
      <c r="J36">
        <v>0.99107793508726072</v>
      </c>
      <c r="K36">
        <v>25</v>
      </c>
      <c r="L36">
        <v>1</v>
      </c>
      <c r="M36">
        <v>3000</v>
      </c>
      <c r="N36">
        <v>82.06</v>
      </c>
      <c r="O36">
        <v>296.14999999999998</v>
      </c>
      <c r="P36">
        <f t="shared" si="1"/>
        <v>1.0287189950781558E-3</v>
      </c>
      <c r="Q36">
        <v>12</v>
      </c>
      <c r="R36">
        <f t="shared" si="2"/>
        <v>3955.8924449892447</v>
      </c>
      <c r="S36">
        <f t="shared" si="3"/>
        <v>21.977180249940247</v>
      </c>
      <c r="T36">
        <f t="shared" si="4"/>
        <v>1582.3569779956979</v>
      </c>
    </row>
    <row r="37" spans="1:20" x14ac:dyDescent="0.25">
      <c r="A37" s="1">
        <v>48</v>
      </c>
      <c r="B37" t="s">
        <v>6</v>
      </c>
      <c r="C37" t="s">
        <v>8</v>
      </c>
      <c r="D37" t="s">
        <v>11</v>
      </c>
      <c r="E37">
        <v>94.35</v>
      </c>
      <c r="F37">
        <v>180</v>
      </c>
      <c r="G37">
        <v>1164.881727519095</v>
      </c>
      <c r="H37">
        <v>1164.8817275191141</v>
      </c>
      <c r="I37">
        <f t="shared" si="0"/>
        <v>3494645.1825573421</v>
      </c>
      <c r="J37">
        <v>0.99566721642832723</v>
      </c>
      <c r="K37">
        <v>25</v>
      </c>
      <c r="L37">
        <v>1</v>
      </c>
      <c r="M37">
        <v>3000</v>
      </c>
      <c r="N37">
        <v>82.06</v>
      </c>
      <c r="O37">
        <v>296.14999999999998</v>
      </c>
      <c r="P37">
        <f t="shared" si="1"/>
        <v>1.0287189950781558E-3</v>
      </c>
      <c r="Q37">
        <v>12</v>
      </c>
      <c r="R37">
        <f t="shared" si="2"/>
        <v>43140.094564261286</v>
      </c>
      <c r="S37">
        <f t="shared" si="3"/>
        <v>239.66719202367381</v>
      </c>
      <c r="T37">
        <f t="shared" si="4"/>
        <v>17256.037825704516</v>
      </c>
    </row>
    <row r="38" spans="1:20" x14ac:dyDescent="0.25">
      <c r="A38" s="1">
        <v>49</v>
      </c>
      <c r="B38" t="s">
        <v>6</v>
      </c>
      <c r="C38" t="s">
        <v>9</v>
      </c>
      <c r="D38" t="s">
        <v>11</v>
      </c>
      <c r="E38">
        <v>94.38333333333334</v>
      </c>
      <c r="F38">
        <v>180</v>
      </c>
      <c r="G38">
        <v>1957.80414683088</v>
      </c>
      <c r="H38">
        <v>1957.8041468309107</v>
      </c>
      <c r="I38">
        <f t="shared" si="0"/>
        <v>5873412.4404927325</v>
      </c>
      <c r="J38">
        <v>0.99991280757076684</v>
      </c>
      <c r="K38">
        <v>25</v>
      </c>
      <c r="L38">
        <v>1</v>
      </c>
      <c r="M38">
        <v>3000</v>
      </c>
      <c r="N38">
        <v>82.06</v>
      </c>
      <c r="O38">
        <v>296.14999999999998</v>
      </c>
      <c r="P38">
        <f t="shared" si="1"/>
        <v>1.0287189950781558E-3</v>
      </c>
      <c r="Q38">
        <v>12</v>
      </c>
      <c r="R38">
        <f t="shared" si="2"/>
        <v>72505.091321558662</v>
      </c>
      <c r="S38">
        <f t="shared" si="3"/>
        <v>402.80606289754814</v>
      </c>
      <c r="T38">
        <f t="shared" si="4"/>
        <v>29002.036528623466</v>
      </c>
    </row>
    <row r="39" spans="1:20" x14ac:dyDescent="0.25">
      <c r="A39" s="1">
        <v>50</v>
      </c>
      <c r="B39" t="s">
        <v>6</v>
      </c>
      <c r="C39" t="s">
        <v>9</v>
      </c>
      <c r="D39" t="s">
        <v>11</v>
      </c>
      <c r="E39">
        <v>94.38333333333334</v>
      </c>
      <c r="F39">
        <v>180</v>
      </c>
      <c r="G39">
        <v>4228.8990501086055</v>
      </c>
      <c r="H39">
        <v>4228.8990501086719</v>
      </c>
      <c r="I39">
        <f t="shared" si="0"/>
        <v>12686697.150326015</v>
      </c>
      <c r="J39">
        <v>0.99966267613099069</v>
      </c>
      <c r="K39">
        <v>25</v>
      </c>
      <c r="L39">
        <v>1</v>
      </c>
      <c r="M39">
        <v>3000</v>
      </c>
      <c r="N39">
        <v>82.06</v>
      </c>
      <c r="O39">
        <v>296.14999999999998</v>
      </c>
      <c r="P39">
        <f t="shared" si="1"/>
        <v>1.0287189950781558E-3</v>
      </c>
      <c r="Q39">
        <v>12</v>
      </c>
      <c r="R39">
        <f t="shared" si="2"/>
        <v>156612.55612013137</v>
      </c>
      <c r="S39">
        <f t="shared" si="3"/>
        <v>870.06975622295204</v>
      </c>
      <c r="T39">
        <f t="shared" si="4"/>
        <v>62645.02244805255</v>
      </c>
    </row>
    <row r="40" spans="1:20" x14ac:dyDescent="0.25">
      <c r="A40" s="1">
        <v>51</v>
      </c>
      <c r="B40" t="s">
        <v>6</v>
      </c>
      <c r="C40" t="s">
        <v>9</v>
      </c>
      <c r="D40" t="s">
        <v>11</v>
      </c>
      <c r="E40">
        <v>94.4</v>
      </c>
      <c r="F40">
        <v>180</v>
      </c>
      <c r="G40">
        <v>220.89572554053149</v>
      </c>
      <c r="H40">
        <v>220.89572554053495</v>
      </c>
      <c r="I40">
        <f t="shared" si="0"/>
        <v>662687.17662160483</v>
      </c>
      <c r="J40">
        <v>0.99940843715752603</v>
      </c>
      <c r="K40">
        <v>25</v>
      </c>
      <c r="L40">
        <v>1</v>
      </c>
      <c r="M40">
        <v>3000</v>
      </c>
      <c r="N40">
        <v>82.06</v>
      </c>
      <c r="O40">
        <v>296.14999999999998</v>
      </c>
      <c r="P40">
        <f t="shared" si="1"/>
        <v>1.0287189950781558E-3</v>
      </c>
      <c r="Q40">
        <v>12</v>
      </c>
      <c r="R40">
        <f t="shared" si="2"/>
        <v>8180.6266366242917</v>
      </c>
      <c r="S40">
        <f t="shared" si="3"/>
        <v>45.447925759023846</v>
      </c>
      <c r="T40">
        <f t="shared" si="4"/>
        <v>3272.250654649717</v>
      </c>
    </row>
    <row r="41" spans="1:20" x14ac:dyDescent="0.25">
      <c r="A41" s="1">
        <v>52</v>
      </c>
      <c r="B41" t="s">
        <v>6</v>
      </c>
      <c r="C41" t="s">
        <v>9</v>
      </c>
      <c r="D41" t="s">
        <v>11</v>
      </c>
      <c r="E41">
        <v>94.4</v>
      </c>
      <c r="F41">
        <v>180</v>
      </c>
      <c r="G41">
        <v>344.86624652329198</v>
      </c>
      <c r="H41">
        <v>344.86624652329732</v>
      </c>
      <c r="I41">
        <f t="shared" si="0"/>
        <v>1034598.7395698919</v>
      </c>
      <c r="J41">
        <v>0.99921233307830859</v>
      </c>
      <c r="K41">
        <v>25</v>
      </c>
      <c r="L41">
        <v>1</v>
      </c>
      <c r="M41">
        <v>3000</v>
      </c>
      <c r="N41">
        <v>82.06</v>
      </c>
      <c r="O41">
        <v>296.14999999999998</v>
      </c>
      <c r="P41">
        <f t="shared" si="1"/>
        <v>1.0287189950781558E-3</v>
      </c>
      <c r="Q41">
        <v>12</v>
      </c>
      <c r="R41">
        <f t="shared" si="2"/>
        <v>12771.73650815359</v>
      </c>
      <c r="S41">
        <f t="shared" si="3"/>
        <v>70.954091711964395</v>
      </c>
      <c r="T41">
        <f t="shared" si="4"/>
        <v>5108.694603261436</v>
      </c>
    </row>
    <row r="42" spans="1:20" x14ac:dyDescent="0.25">
      <c r="A42" s="1">
        <v>53</v>
      </c>
      <c r="B42" t="s">
        <v>7</v>
      </c>
      <c r="C42" t="s">
        <v>8</v>
      </c>
      <c r="D42" t="s">
        <v>11</v>
      </c>
      <c r="E42">
        <v>98.433333333333337</v>
      </c>
      <c r="F42">
        <v>180</v>
      </c>
      <c r="G42">
        <v>258.09240120478245</v>
      </c>
      <c r="H42">
        <v>258.0924012047866</v>
      </c>
      <c r="I42">
        <f t="shared" si="0"/>
        <v>774277.20361435984</v>
      </c>
      <c r="J42">
        <v>0.9875232616339783</v>
      </c>
      <c r="K42">
        <v>25</v>
      </c>
      <c r="L42">
        <v>1</v>
      </c>
      <c r="M42">
        <v>3000</v>
      </c>
      <c r="N42">
        <v>82.06</v>
      </c>
      <c r="O42">
        <v>296.14999999999998</v>
      </c>
      <c r="P42">
        <f t="shared" si="1"/>
        <v>1.0287189950781558E-3</v>
      </c>
      <c r="Q42">
        <v>12</v>
      </c>
      <c r="R42">
        <f t="shared" si="2"/>
        <v>9558.1640017690661</v>
      </c>
      <c r="S42">
        <f t="shared" si="3"/>
        <v>53.100911120939259</v>
      </c>
      <c r="T42">
        <f t="shared" si="4"/>
        <v>3823.2656007076266</v>
      </c>
    </row>
    <row r="43" spans="1:20" x14ac:dyDescent="0.25">
      <c r="A43" s="1">
        <v>54</v>
      </c>
      <c r="B43" t="s">
        <v>7</v>
      </c>
      <c r="C43" t="s">
        <v>8</v>
      </c>
      <c r="D43" t="s">
        <v>11</v>
      </c>
      <c r="E43">
        <v>98.433333333333337</v>
      </c>
      <c r="F43">
        <v>180</v>
      </c>
      <c r="G43">
        <v>381.80793268084051</v>
      </c>
      <c r="H43">
        <v>381.80793268084659</v>
      </c>
      <c r="I43">
        <f t="shared" si="0"/>
        <v>1145423.7980425397</v>
      </c>
      <c r="J43">
        <v>0.99798631454227926</v>
      </c>
      <c r="K43">
        <v>25</v>
      </c>
      <c r="L43">
        <v>1</v>
      </c>
      <c r="M43">
        <v>3000</v>
      </c>
      <c r="N43">
        <v>82.06</v>
      </c>
      <c r="O43">
        <v>296.14999999999998</v>
      </c>
      <c r="P43">
        <f t="shared" si="1"/>
        <v>1.0287189950781558E-3</v>
      </c>
      <c r="Q43">
        <v>12</v>
      </c>
      <c r="R43">
        <f t="shared" si="2"/>
        <v>14139.830621531111</v>
      </c>
      <c r="S43">
        <f t="shared" si="3"/>
        <v>78.554614564061723</v>
      </c>
      <c r="T43">
        <f t="shared" si="4"/>
        <v>5655.9322486124438</v>
      </c>
    </row>
    <row r="44" spans="1:20" x14ac:dyDescent="0.25">
      <c r="A44" s="1">
        <v>55</v>
      </c>
      <c r="B44" t="s">
        <v>7</v>
      </c>
      <c r="C44" t="s">
        <v>8</v>
      </c>
      <c r="D44" t="s">
        <v>11</v>
      </c>
      <c r="E44">
        <v>98.45</v>
      </c>
      <c r="F44">
        <v>180</v>
      </c>
      <c r="G44">
        <v>1486.2603489027051</v>
      </c>
      <c r="H44">
        <v>1486.2603489027299</v>
      </c>
      <c r="I44">
        <f t="shared" si="0"/>
        <v>4458781.0467081899</v>
      </c>
      <c r="J44">
        <v>0.9910537257238875</v>
      </c>
      <c r="K44">
        <v>25</v>
      </c>
      <c r="L44">
        <v>1</v>
      </c>
      <c r="M44">
        <v>3000</v>
      </c>
      <c r="N44">
        <v>82.06</v>
      </c>
      <c r="O44">
        <v>296.14999999999998</v>
      </c>
      <c r="P44">
        <f t="shared" si="1"/>
        <v>1.0287189950781558E-3</v>
      </c>
      <c r="Q44">
        <v>12</v>
      </c>
      <c r="R44">
        <f t="shared" si="2"/>
        <v>55041.993091718119</v>
      </c>
      <c r="S44">
        <f t="shared" si="3"/>
        <v>305.78885050954511</v>
      </c>
      <c r="T44">
        <f t="shared" si="4"/>
        <v>22016.797236687249</v>
      </c>
    </row>
    <row r="45" spans="1:20" x14ac:dyDescent="0.25">
      <c r="A45" s="1">
        <v>56</v>
      </c>
      <c r="B45" t="s">
        <v>7</v>
      </c>
      <c r="C45" t="s">
        <v>8</v>
      </c>
      <c r="D45" t="s">
        <v>11</v>
      </c>
      <c r="E45">
        <v>98.45</v>
      </c>
      <c r="F45">
        <v>180</v>
      </c>
      <c r="G45">
        <v>1818.9875356517198</v>
      </c>
      <c r="H45">
        <v>1818.9875356517502</v>
      </c>
      <c r="I45">
        <f t="shared" si="0"/>
        <v>5456962.6069552507</v>
      </c>
      <c r="J45">
        <v>0.98280833915307142</v>
      </c>
      <c r="K45">
        <v>25</v>
      </c>
      <c r="L45">
        <v>1</v>
      </c>
      <c r="M45">
        <v>3000</v>
      </c>
      <c r="N45">
        <v>82.06</v>
      </c>
      <c r="O45">
        <v>296.14999999999998</v>
      </c>
      <c r="P45">
        <f t="shared" si="1"/>
        <v>1.0287189950781558E-3</v>
      </c>
      <c r="Q45">
        <v>12</v>
      </c>
      <c r="R45">
        <f t="shared" si="2"/>
        <v>67364.173070472942</v>
      </c>
      <c r="S45">
        <f t="shared" si="3"/>
        <v>374.2454059470719</v>
      </c>
      <c r="T45">
        <f t="shared" si="4"/>
        <v>26945.669228189177</v>
      </c>
    </row>
    <row r="46" spans="1:20" x14ac:dyDescent="0.25">
      <c r="A46" s="1">
        <v>57</v>
      </c>
      <c r="B46" t="s">
        <v>7</v>
      </c>
      <c r="C46" t="s">
        <v>9</v>
      </c>
      <c r="D46" t="s">
        <v>11</v>
      </c>
      <c r="E46">
        <v>98.5</v>
      </c>
      <c r="F46">
        <v>180</v>
      </c>
      <c r="G46">
        <v>211.51524835618153</v>
      </c>
      <c r="H46">
        <v>211.51524835618216</v>
      </c>
      <c r="I46">
        <f t="shared" si="0"/>
        <v>634545.7450685465</v>
      </c>
      <c r="J46">
        <v>0.99918734471865789</v>
      </c>
      <c r="K46">
        <v>25</v>
      </c>
      <c r="L46">
        <v>1</v>
      </c>
      <c r="M46">
        <v>3000</v>
      </c>
      <c r="N46">
        <v>82.06</v>
      </c>
      <c r="O46">
        <v>296.14999999999998</v>
      </c>
      <c r="P46">
        <f t="shared" si="1"/>
        <v>1.0287189950781558E-3</v>
      </c>
      <c r="Q46">
        <v>12</v>
      </c>
      <c r="R46">
        <f t="shared" si="2"/>
        <v>7833.2311343764177</v>
      </c>
      <c r="S46">
        <f t="shared" si="3"/>
        <v>43.517950746535654</v>
      </c>
      <c r="T46">
        <f t="shared" si="4"/>
        <v>3133.2924537505669</v>
      </c>
    </row>
    <row r="47" spans="1:20" x14ac:dyDescent="0.25">
      <c r="A47" s="1">
        <v>58</v>
      </c>
      <c r="B47" t="s">
        <v>7</v>
      </c>
      <c r="C47" t="s">
        <v>9</v>
      </c>
      <c r="D47" t="s">
        <v>11</v>
      </c>
      <c r="E47">
        <v>98.5</v>
      </c>
      <c r="F47">
        <v>180</v>
      </c>
      <c r="G47">
        <v>187.78282197950648</v>
      </c>
      <c r="H47">
        <v>187.78282197950679</v>
      </c>
      <c r="I47">
        <f t="shared" si="0"/>
        <v>563348.46593852038</v>
      </c>
      <c r="J47">
        <v>1</v>
      </c>
      <c r="K47">
        <v>25</v>
      </c>
      <c r="L47">
        <v>1</v>
      </c>
      <c r="M47">
        <v>3000</v>
      </c>
      <c r="N47">
        <v>82.06</v>
      </c>
      <c r="O47">
        <v>296.14999999999998</v>
      </c>
      <c r="P47">
        <f t="shared" si="1"/>
        <v>1.0287189950781558E-3</v>
      </c>
      <c r="Q47">
        <v>12</v>
      </c>
      <c r="R47">
        <f t="shared" si="2"/>
        <v>6954.3272131091444</v>
      </c>
      <c r="S47">
        <f t="shared" si="3"/>
        <v>38.635151183939691</v>
      </c>
      <c r="T47">
        <f t="shared" si="4"/>
        <v>2781.7308852436577</v>
      </c>
    </row>
    <row r="48" spans="1:20" x14ac:dyDescent="0.25">
      <c r="A48" s="1">
        <v>59</v>
      </c>
      <c r="B48" t="s">
        <v>7</v>
      </c>
      <c r="C48" t="s">
        <v>9</v>
      </c>
      <c r="D48" t="s">
        <v>11</v>
      </c>
      <c r="E48">
        <v>98.516666666666666</v>
      </c>
      <c r="F48">
        <v>180</v>
      </c>
      <c r="G48">
        <v>1292.40589576822</v>
      </c>
      <c r="H48">
        <v>1292.4058957682582</v>
      </c>
      <c r="I48">
        <f t="shared" si="0"/>
        <v>3877217.6873047748</v>
      </c>
      <c r="J48">
        <v>0.99048272865755482</v>
      </c>
      <c r="K48">
        <v>25</v>
      </c>
      <c r="L48">
        <v>1</v>
      </c>
      <c r="M48">
        <v>3000</v>
      </c>
      <c r="N48">
        <v>82.06</v>
      </c>
      <c r="O48">
        <v>296.14999999999998</v>
      </c>
      <c r="P48">
        <f t="shared" si="1"/>
        <v>1.0287189950781558E-3</v>
      </c>
      <c r="Q48">
        <v>12</v>
      </c>
      <c r="R48">
        <f t="shared" si="2"/>
        <v>47862.809795801033</v>
      </c>
      <c r="S48">
        <f t="shared" si="3"/>
        <v>265.90449886556132</v>
      </c>
      <c r="T48">
        <f t="shared" si="4"/>
        <v>19145.123918320416</v>
      </c>
    </row>
    <row r="49" spans="1:20" x14ac:dyDescent="0.25">
      <c r="A49" s="1">
        <v>60</v>
      </c>
      <c r="B49" t="s">
        <v>7</v>
      </c>
      <c r="C49" t="s">
        <v>9</v>
      </c>
      <c r="D49" t="s">
        <v>11</v>
      </c>
      <c r="E49">
        <v>98.516666666666666</v>
      </c>
      <c r="F49">
        <v>180</v>
      </c>
      <c r="G49">
        <v>1194.4293500954998</v>
      </c>
      <c r="H49">
        <v>1194.4293500955293</v>
      </c>
      <c r="I49">
        <f t="shared" si="0"/>
        <v>3583288.0502865883</v>
      </c>
      <c r="J49">
        <v>0.96063062486617223</v>
      </c>
      <c r="K49">
        <v>25</v>
      </c>
      <c r="L49">
        <v>1</v>
      </c>
      <c r="M49">
        <v>3000</v>
      </c>
      <c r="N49">
        <v>82.06</v>
      </c>
      <c r="O49">
        <v>296.14999999999998</v>
      </c>
      <c r="P49">
        <f t="shared" si="1"/>
        <v>1.0287189950781558E-3</v>
      </c>
      <c r="Q49">
        <v>12</v>
      </c>
      <c r="R49">
        <f t="shared" si="2"/>
        <v>44234.357785996603</v>
      </c>
      <c r="S49">
        <f t="shared" si="3"/>
        <v>245.74643214442557</v>
      </c>
      <c r="T49">
        <f t="shared" si="4"/>
        <v>17693.74311439864</v>
      </c>
    </row>
    <row r="50" spans="1:20" x14ac:dyDescent="0.25">
      <c r="A50" s="1">
        <v>37</v>
      </c>
      <c r="B50" t="s">
        <v>36</v>
      </c>
      <c r="C50" t="s">
        <v>8</v>
      </c>
      <c r="D50" t="s">
        <v>12</v>
      </c>
      <c r="E50">
        <v>164.91666666666666</v>
      </c>
      <c r="F50">
        <v>180</v>
      </c>
      <c r="G50">
        <v>635.91553153858592</v>
      </c>
      <c r="H50">
        <v>635.91553153861219</v>
      </c>
      <c r="I50">
        <f t="shared" si="0"/>
        <v>1907746.5946158366</v>
      </c>
      <c r="J50">
        <v>0.99847315922817392</v>
      </c>
      <c r="K50">
        <v>25</v>
      </c>
      <c r="L50">
        <v>1</v>
      </c>
      <c r="M50">
        <v>3000</v>
      </c>
      <c r="N50">
        <v>82.06</v>
      </c>
      <c r="O50">
        <v>296.14999999999998</v>
      </c>
      <c r="P50">
        <f t="shared" si="1"/>
        <v>1.0287189950781558E-3</v>
      </c>
      <c r="Q50">
        <v>12</v>
      </c>
      <c r="R50">
        <f t="shared" si="2"/>
        <v>23550.421916123727</v>
      </c>
      <c r="S50">
        <f t="shared" si="3"/>
        <v>130.83567731179849</v>
      </c>
      <c r="T50">
        <f t="shared" si="4"/>
        <v>9420.1687664494912</v>
      </c>
    </row>
    <row r="51" spans="1:20" x14ac:dyDescent="0.25">
      <c r="A51" s="1">
        <v>38</v>
      </c>
      <c r="B51" t="s">
        <v>36</v>
      </c>
      <c r="C51" t="s">
        <v>8</v>
      </c>
      <c r="D51" t="s">
        <v>12</v>
      </c>
      <c r="E51">
        <v>164.91666666666666</v>
      </c>
      <c r="F51">
        <v>180</v>
      </c>
      <c r="G51">
        <v>2318.989881050335</v>
      </c>
      <c r="H51">
        <v>2318.9898810504328</v>
      </c>
      <c r="I51">
        <f t="shared" si="0"/>
        <v>6956969.6431512982</v>
      </c>
      <c r="J51">
        <v>0.99466255492898292</v>
      </c>
      <c r="K51">
        <v>25</v>
      </c>
      <c r="L51">
        <v>1</v>
      </c>
      <c r="M51">
        <v>3000</v>
      </c>
      <c r="N51">
        <v>82.06</v>
      </c>
      <c r="O51">
        <v>296.14999999999998</v>
      </c>
      <c r="P51">
        <f t="shared" si="1"/>
        <v>1.0287189950781558E-3</v>
      </c>
      <c r="Q51">
        <v>12</v>
      </c>
      <c r="R51">
        <f t="shared" si="2"/>
        <v>85881.201841102069</v>
      </c>
      <c r="S51">
        <f t="shared" si="3"/>
        <v>477.11778800612262</v>
      </c>
      <c r="T51">
        <f t="shared" si="4"/>
        <v>34352.480736440826</v>
      </c>
    </row>
    <row r="52" spans="1:20" x14ac:dyDescent="0.25">
      <c r="A52" s="1">
        <v>39</v>
      </c>
      <c r="B52" t="s">
        <v>36</v>
      </c>
      <c r="C52" t="s">
        <v>8</v>
      </c>
      <c r="D52" t="s">
        <v>12</v>
      </c>
      <c r="E52">
        <v>164.93333333333334</v>
      </c>
      <c r="F52">
        <v>180</v>
      </c>
      <c r="G52">
        <v>1952.1165793421847</v>
      </c>
      <c r="H52">
        <v>1952.1165793422147</v>
      </c>
      <c r="I52">
        <f t="shared" si="0"/>
        <v>5856349.7380266441</v>
      </c>
      <c r="J52">
        <v>0.99733592297829166</v>
      </c>
      <c r="K52">
        <v>25</v>
      </c>
      <c r="L52">
        <v>1</v>
      </c>
      <c r="M52">
        <v>3000</v>
      </c>
      <c r="N52">
        <v>82.06</v>
      </c>
      <c r="O52">
        <v>296.14999999999998</v>
      </c>
      <c r="P52">
        <f t="shared" si="1"/>
        <v>1.0287189950781558E-3</v>
      </c>
      <c r="Q52">
        <v>12</v>
      </c>
      <c r="R52">
        <f t="shared" si="2"/>
        <v>72294.45860794789</v>
      </c>
      <c r="S52">
        <f t="shared" si="3"/>
        <v>401.63588115526608</v>
      </c>
      <c r="T52">
        <f t="shared" si="4"/>
        <v>28917.783443179156</v>
      </c>
    </row>
    <row r="53" spans="1:20" x14ac:dyDescent="0.25">
      <c r="A53" s="1">
        <v>40</v>
      </c>
      <c r="B53" t="s">
        <v>36</v>
      </c>
      <c r="C53" t="s">
        <v>8</v>
      </c>
      <c r="D53" t="s">
        <v>12</v>
      </c>
      <c r="E53">
        <v>164.93333333333334</v>
      </c>
      <c r="F53">
        <v>180</v>
      </c>
      <c r="G53">
        <v>484.28666480667505</v>
      </c>
      <c r="H53">
        <v>484.28666480668238</v>
      </c>
      <c r="I53">
        <f t="shared" si="0"/>
        <v>1452859.9944200472</v>
      </c>
      <c r="J53">
        <v>0.99751563793395659</v>
      </c>
      <c r="K53">
        <v>25</v>
      </c>
      <c r="L53">
        <v>1</v>
      </c>
      <c r="M53">
        <v>3000</v>
      </c>
      <c r="N53">
        <v>82.06</v>
      </c>
      <c r="O53">
        <v>296.14999999999998</v>
      </c>
      <c r="P53">
        <f t="shared" si="1"/>
        <v>1.0287189950781558E-3</v>
      </c>
      <c r="Q53">
        <v>12</v>
      </c>
      <c r="R53">
        <f t="shared" si="2"/>
        <v>17935.016081388552</v>
      </c>
      <c r="S53">
        <f t="shared" si="3"/>
        <v>99.638978229936399</v>
      </c>
      <c r="T53">
        <f t="shared" si="4"/>
        <v>7174.0064325554204</v>
      </c>
    </row>
    <row r="54" spans="1:20" x14ac:dyDescent="0.25">
      <c r="A54" s="1">
        <v>41</v>
      </c>
      <c r="B54" t="s">
        <v>36</v>
      </c>
      <c r="C54" t="s">
        <v>9</v>
      </c>
      <c r="D54" t="s">
        <v>12</v>
      </c>
      <c r="E54">
        <v>164.95</v>
      </c>
      <c r="F54">
        <v>180</v>
      </c>
      <c r="G54">
        <v>1865.3882799266898</v>
      </c>
      <c r="H54">
        <v>1865.3882799267215</v>
      </c>
      <c r="I54">
        <f t="shared" si="0"/>
        <v>5596164.839780164</v>
      </c>
      <c r="J54">
        <v>0.98652108873083955</v>
      </c>
      <c r="K54">
        <v>25</v>
      </c>
      <c r="L54">
        <v>1</v>
      </c>
      <c r="M54">
        <v>3000</v>
      </c>
      <c r="N54">
        <v>82.06</v>
      </c>
      <c r="O54">
        <v>296.14999999999998</v>
      </c>
      <c r="P54">
        <f t="shared" si="1"/>
        <v>1.0287189950781558E-3</v>
      </c>
      <c r="Q54">
        <v>12</v>
      </c>
      <c r="R54">
        <f t="shared" si="2"/>
        <v>69082.572843244314</v>
      </c>
      <c r="S54">
        <f t="shared" si="3"/>
        <v>383.79207135135732</v>
      </c>
      <c r="T54">
        <f t="shared" si="4"/>
        <v>27633.029137297726</v>
      </c>
    </row>
    <row r="55" spans="1:20" x14ac:dyDescent="0.25">
      <c r="A55" s="1">
        <v>42</v>
      </c>
      <c r="B55" t="s">
        <v>36</v>
      </c>
      <c r="C55" t="s">
        <v>9</v>
      </c>
      <c r="D55" t="s">
        <v>12</v>
      </c>
      <c r="E55">
        <v>164.95</v>
      </c>
      <c r="F55">
        <v>180</v>
      </c>
      <c r="G55">
        <v>898.75809020393001</v>
      </c>
      <c r="H55">
        <v>898.7580902039449</v>
      </c>
      <c r="I55">
        <f t="shared" si="0"/>
        <v>2696274.2706118347</v>
      </c>
      <c r="J55">
        <v>0.99526657536028873</v>
      </c>
      <c r="K55">
        <v>25</v>
      </c>
      <c r="L55">
        <v>1</v>
      </c>
      <c r="M55">
        <v>3000</v>
      </c>
      <c r="N55">
        <v>82.06</v>
      </c>
      <c r="O55">
        <v>296.14999999999998</v>
      </c>
      <c r="P55">
        <f t="shared" si="1"/>
        <v>1.0287189950781558E-3</v>
      </c>
      <c r="Q55">
        <v>12</v>
      </c>
      <c r="R55">
        <f t="shared" si="2"/>
        <v>33284.502697426731</v>
      </c>
      <c r="S55">
        <f t="shared" si="3"/>
        <v>184.91390387459296</v>
      </c>
      <c r="T55">
        <f t="shared" si="4"/>
        <v>13313.801078970693</v>
      </c>
    </row>
    <row r="56" spans="1:20" x14ac:dyDescent="0.25">
      <c r="A56" s="1">
        <v>43</v>
      </c>
      <c r="B56" t="s">
        <v>36</v>
      </c>
      <c r="C56" t="s">
        <v>9</v>
      </c>
      <c r="D56" t="s">
        <v>12</v>
      </c>
      <c r="E56">
        <v>164.96666666666667</v>
      </c>
      <c r="F56">
        <v>180</v>
      </c>
      <c r="G56">
        <v>774.54407037273495</v>
      </c>
      <c r="H56">
        <v>774.54407037276565</v>
      </c>
      <c r="I56">
        <f t="shared" si="0"/>
        <v>2323632.2111182967</v>
      </c>
      <c r="J56">
        <v>0.99916938632476948</v>
      </c>
      <c r="K56">
        <v>25</v>
      </c>
      <c r="L56">
        <v>1</v>
      </c>
      <c r="M56">
        <v>3000</v>
      </c>
      <c r="N56">
        <v>82.06</v>
      </c>
      <c r="O56">
        <v>296.14999999999998</v>
      </c>
      <c r="P56">
        <f t="shared" si="1"/>
        <v>1.0287189950781558E-3</v>
      </c>
      <c r="Q56">
        <v>12</v>
      </c>
      <c r="R56">
        <f t="shared" si="2"/>
        <v>28684.37511783417</v>
      </c>
      <c r="S56">
        <f t="shared" si="3"/>
        <v>159.35763954352316</v>
      </c>
      <c r="T56">
        <f t="shared" si="4"/>
        <v>11473.750047133668</v>
      </c>
    </row>
    <row r="57" spans="1:20" x14ac:dyDescent="0.25">
      <c r="A57" s="1">
        <v>44</v>
      </c>
      <c r="B57" t="s">
        <v>36</v>
      </c>
      <c r="C57" t="s">
        <v>9</v>
      </c>
      <c r="D57" t="s">
        <v>12</v>
      </c>
      <c r="E57">
        <v>164.96666666666667</v>
      </c>
      <c r="F57">
        <v>180</v>
      </c>
      <c r="G57">
        <v>554.03987233575663</v>
      </c>
      <c r="H57">
        <v>554.03987233577902</v>
      </c>
      <c r="I57">
        <f t="shared" si="0"/>
        <v>1662119.617007337</v>
      </c>
      <c r="J57">
        <v>0.99998274452268054</v>
      </c>
      <c r="K57">
        <v>25</v>
      </c>
      <c r="L57">
        <v>1</v>
      </c>
      <c r="M57">
        <v>3000</v>
      </c>
      <c r="N57">
        <v>82.06</v>
      </c>
      <c r="O57">
        <v>296.14999999999998</v>
      </c>
      <c r="P57">
        <f t="shared" si="1"/>
        <v>1.0287189950781558E-3</v>
      </c>
      <c r="Q57">
        <v>12</v>
      </c>
      <c r="R57">
        <f t="shared" si="2"/>
        <v>20518.248265289723</v>
      </c>
      <c r="S57">
        <f t="shared" si="3"/>
        <v>113.99026814049846</v>
      </c>
      <c r="T57">
        <f t="shared" si="4"/>
        <v>8207.2993061158886</v>
      </c>
    </row>
    <row r="58" spans="1:20" x14ac:dyDescent="0.25">
      <c r="A58" s="1">
        <v>45</v>
      </c>
      <c r="B58" t="s">
        <v>6</v>
      </c>
      <c r="C58" t="s">
        <v>8</v>
      </c>
      <c r="D58" t="s">
        <v>12</v>
      </c>
      <c r="E58">
        <v>164</v>
      </c>
      <c r="F58">
        <v>180</v>
      </c>
      <c r="G58">
        <v>1053.1672779789801</v>
      </c>
      <c r="H58">
        <v>1053.1672779789958</v>
      </c>
      <c r="I58">
        <f t="shared" si="0"/>
        <v>3159501.8339369874</v>
      </c>
      <c r="J58">
        <v>0.99395015058235237</v>
      </c>
      <c r="K58">
        <v>25</v>
      </c>
      <c r="L58">
        <v>1</v>
      </c>
      <c r="M58">
        <v>3000</v>
      </c>
      <c r="N58">
        <v>82.06</v>
      </c>
      <c r="O58">
        <v>296.14999999999998</v>
      </c>
      <c r="P58">
        <f t="shared" si="1"/>
        <v>1.0287189950781558E-3</v>
      </c>
      <c r="Q58">
        <v>12</v>
      </c>
      <c r="R58">
        <f t="shared" si="2"/>
        <v>39002.87461866298</v>
      </c>
      <c r="S58">
        <f t="shared" si="3"/>
        <v>216.68263677034989</v>
      </c>
      <c r="T58">
        <f t="shared" si="4"/>
        <v>15601.149847465193</v>
      </c>
    </row>
    <row r="59" spans="1:20" x14ac:dyDescent="0.25">
      <c r="A59" s="1">
        <v>46</v>
      </c>
      <c r="B59" t="s">
        <v>6</v>
      </c>
      <c r="C59" t="s">
        <v>8</v>
      </c>
      <c r="D59" t="s">
        <v>12</v>
      </c>
      <c r="E59">
        <v>164</v>
      </c>
      <c r="F59">
        <v>180</v>
      </c>
      <c r="G59">
        <v>826.60557355466995</v>
      </c>
      <c r="H59">
        <v>826.60557355468177</v>
      </c>
      <c r="I59">
        <f t="shared" si="0"/>
        <v>2479816.7206640453</v>
      </c>
      <c r="J59">
        <v>0.97445368501166518</v>
      </c>
      <c r="K59">
        <v>25</v>
      </c>
      <c r="L59">
        <v>1</v>
      </c>
      <c r="M59">
        <v>3000</v>
      </c>
      <c r="N59">
        <v>82.06</v>
      </c>
      <c r="O59">
        <v>296.14999999999998</v>
      </c>
      <c r="P59">
        <f t="shared" si="1"/>
        <v>1.0287189950781558E-3</v>
      </c>
      <c r="Q59">
        <v>12</v>
      </c>
      <c r="R59">
        <f t="shared" si="2"/>
        <v>30612.414778314294</v>
      </c>
      <c r="S59">
        <f t="shared" si="3"/>
        <v>170.06897099063497</v>
      </c>
      <c r="T59">
        <f t="shared" si="4"/>
        <v>12244.965911325718</v>
      </c>
    </row>
    <row r="60" spans="1:20" x14ac:dyDescent="0.25">
      <c r="A60" s="1">
        <v>47</v>
      </c>
      <c r="B60" t="s">
        <v>6</v>
      </c>
      <c r="C60" t="s">
        <v>8</v>
      </c>
      <c r="D60" t="s">
        <v>12</v>
      </c>
      <c r="E60">
        <v>164.01666666666668</v>
      </c>
      <c r="F60">
        <v>180</v>
      </c>
      <c r="G60">
        <v>765.34418281824492</v>
      </c>
      <c r="H60">
        <v>765.34418281827459</v>
      </c>
      <c r="I60">
        <f t="shared" si="0"/>
        <v>2296032.5484548239</v>
      </c>
      <c r="J60">
        <v>0.99806669109620094</v>
      </c>
      <c r="K60">
        <v>25</v>
      </c>
      <c r="L60">
        <v>1</v>
      </c>
      <c r="M60">
        <v>3000</v>
      </c>
      <c r="N60">
        <v>82.06</v>
      </c>
      <c r="O60">
        <v>296.14999999999998</v>
      </c>
      <c r="P60">
        <f t="shared" si="1"/>
        <v>1.0287189950781558E-3</v>
      </c>
      <c r="Q60">
        <v>12</v>
      </c>
      <c r="R60">
        <f t="shared" si="2"/>
        <v>28343.667550958202</v>
      </c>
      <c r="S60">
        <f t="shared" si="3"/>
        <v>157.46481972754557</v>
      </c>
      <c r="T60">
        <f t="shared" si="4"/>
        <v>11337.467020383281</v>
      </c>
    </row>
    <row r="61" spans="1:20" x14ac:dyDescent="0.25">
      <c r="A61" s="1">
        <v>48</v>
      </c>
      <c r="B61" t="s">
        <v>6</v>
      </c>
      <c r="C61" t="s">
        <v>8</v>
      </c>
      <c r="D61" t="s">
        <v>12</v>
      </c>
      <c r="E61">
        <v>164.01666666666668</v>
      </c>
      <c r="F61">
        <v>180</v>
      </c>
      <c r="G61">
        <v>1715.1593271100126</v>
      </c>
      <c r="H61">
        <v>978.8100283651238</v>
      </c>
      <c r="I61">
        <f t="shared" si="0"/>
        <v>2936430.0850953716</v>
      </c>
      <c r="J61">
        <v>1</v>
      </c>
      <c r="K61">
        <v>25</v>
      </c>
      <c r="L61">
        <v>1</v>
      </c>
      <c r="M61">
        <v>3000</v>
      </c>
      <c r="N61">
        <v>82.06</v>
      </c>
      <c r="O61">
        <v>296.14999999999998</v>
      </c>
      <c r="P61">
        <f t="shared" si="1"/>
        <v>1.0287189950781558E-3</v>
      </c>
      <c r="Q61">
        <v>12</v>
      </c>
      <c r="R61">
        <f t="shared" si="2"/>
        <v>36249.13687507889</v>
      </c>
      <c r="S61">
        <f t="shared" si="3"/>
        <v>201.38409375043827</v>
      </c>
      <c r="T61">
        <f t="shared" si="4"/>
        <v>14499.654750031556</v>
      </c>
    </row>
    <row r="62" spans="1:20" x14ac:dyDescent="0.25">
      <c r="A62" s="1">
        <v>49</v>
      </c>
      <c r="B62" t="s">
        <v>6</v>
      </c>
      <c r="C62" t="s">
        <v>9</v>
      </c>
      <c r="D62" t="s">
        <v>12</v>
      </c>
      <c r="E62">
        <v>164.05</v>
      </c>
      <c r="F62">
        <v>180</v>
      </c>
      <c r="G62">
        <v>1008.9646829564899</v>
      </c>
      <c r="H62">
        <v>1008.9646829565065</v>
      </c>
      <c r="I62">
        <f t="shared" si="0"/>
        <v>3026894.0488695195</v>
      </c>
      <c r="J62">
        <v>0.99814518857022871</v>
      </c>
      <c r="K62">
        <v>25</v>
      </c>
      <c r="L62">
        <v>1</v>
      </c>
      <c r="M62">
        <v>3000</v>
      </c>
      <c r="N62">
        <v>82.06</v>
      </c>
      <c r="O62">
        <v>296.14999999999998</v>
      </c>
      <c r="P62">
        <f t="shared" si="1"/>
        <v>1.0287189950781558E-3</v>
      </c>
      <c r="Q62">
        <v>12</v>
      </c>
      <c r="R62">
        <f t="shared" si="2"/>
        <v>37365.88084993323</v>
      </c>
      <c r="S62">
        <f t="shared" si="3"/>
        <v>207.58822694407351</v>
      </c>
      <c r="T62">
        <f t="shared" si="4"/>
        <v>14946.352339973293</v>
      </c>
    </row>
    <row r="63" spans="1:20" x14ac:dyDescent="0.25">
      <c r="A63" s="1">
        <v>50</v>
      </c>
      <c r="B63" t="s">
        <v>6</v>
      </c>
      <c r="C63" t="s">
        <v>9</v>
      </c>
      <c r="D63" t="s">
        <v>12</v>
      </c>
      <c r="E63">
        <v>164.05</v>
      </c>
      <c r="F63">
        <v>180</v>
      </c>
      <c r="G63">
        <v>2886.18706353168</v>
      </c>
      <c r="H63">
        <v>2886.1870635317268</v>
      </c>
      <c r="I63">
        <f t="shared" si="0"/>
        <v>8658561.1905951798</v>
      </c>
      <c r="J63">
        <v>0.99814874949922505</v>
      </c>
      <c r="K63">
        <v>25</v>
      </c>
      <c r="L63">
        <v>1</v>
      </c>
      <c r="M63">
        <v>3000</v>
      </c>
      <c r="N63">
        <v>82.06</v>
      </c>
      <c r="O63">
        <v>296.14999999999998</v>
      </c>
      <c r="P63">
        <f t="shared" si="1"/>
        <v>1.0287189950781558E-3</v>
      </c>
      <c r="Q63">
        <v>12</v>
      </c>
      <c r="R63">
        <f t="shared" si="2"/>
        <v>106886.71640174152</v>
      </c>
      <c r="S63">
        <f t="shared" si="3"/>
        <v>593.81509112078618</v>
      </c>
      <c r="T63">
        <f t="shared" si="4"/>
        <v>42754.686560696602</v>
      </c>
    </row>
    <row r="64" spans="1:20" x14ac:dyDescent="0.25">
      <c r="A64" s="1">
        <v>51</v>
      </c>
      <c r="B64" t="s">
        <v>6</v>
      </c>
      <c r="C64" t="s">
        <v>9</v>
      </c>
      <c r="D64" t="s">
        <v>12</v>
      </c>
      <c r="E64">
        <v>164.06666666666666</v>
      </c>
      <c r="F64">
        <v>180</v>
      </c>
      <c r="G64">
        <v>147.29144282157955</v>
      </c>
      <c r="H64">
        <v>147.29144282158583</v>
      </c>
      <c r="I64">
        <f t="shared" si="0"/>
        <v>441874.32846475748</v>
      </c>
      <c r="J64">
        <v>0.98811676464226694</v>
      </c>
      <c r="K64">
        <v>25</v>
      </c>
      <c r="L64">
        <v>1</v>
      </c>
      <c r="M64">
        <v>3000</v>
      </c>
      <c r="N64">
        <v>82.06</v>
      </c>
      <c r="O64">
        <v>296.14999999999998</v>
      </c>
      <c r="P64">
        <f t="shared" si="1"/>
        <v>1.0287189950781558E-3</v>
      </c>
      <c r="Q64">
        <v>12</v>
      </c>
      <c r="R64">
        <f t="shared" si="2"/>
        <v>5454.7741815492027</v>
      </c>
      <c r="S64">
        <f t="shared" si="3"/>
        <v>30.304301008606682</v>
      </c>
      <c r="T64">
        <f t="shared" si="4"/>
        <v>2181.9096726196813</v>
      </c>
    </row>
    <row r="65" spans="1:20" x14ac:dyDescent="0.25">
      <c r="A65" s="1">
        <v>52</v>
      </c>
      <c r="B65" t="s">
        <v>6</v>
      </c>
      <c r="C65" t="s">
        <v>9</v>
      </c>
      <c r="D65" t="s">
        <v>12</v>
      </c>
      <c r="E65">
        <v>164.06666666666666</v>
      </c>
      <c r="F65">
        <v>180</v>
      </c>
      <c r="G65">
        <v>306.80778160478297</v>
      </c>
      <c r="H65">
        <v>306.80778160479593</v>
      </c>
      <c r="I65">
        <f t="shared" si="0"/>
        <v>920423.34481438785</v>
      </c>
      <c r="J65">
        <v>0.98725183419406271</v>
      </c>
      <c r="K65">
        <v>25</v>
      </c>
      <c r="L65">
        <v>1</v>
      </c>
      <c r="M65">
        <v>3000</v>
      </c>
      <c r="N65">
        <v>82.06</v>
      </c>
      <c r="O65">
        <v>296.14999999999998</v>
      </c>
      <c r="P65">
        <f t="shared" si="1"/>
        <v>1.0287189950781558E-3</v>
      </c>
      <c r="Q65">
        <v>12</v>
      </c>
      <c r="R65">
        <f t="shared" si="2"/>
        <v>11362.283739887183</v>
      </c>
      <c r="S65">
        <f t="shared" si="3"/>
        <v>63.123798554928797</v>
      </c>
      <c r="T65">
        <f t="shared" si="4"/>
        <v>4544.9134959548737</v>
      </c>
    </row>
    <row r="66" spans="1:20" x14ac:dyDescent="0.25">
      <c r="A66" s="1">
        <v>53</v>
      </c>
      <c r="B66" t="s">
        <v>7</v>
      </c>
      <c r="C66" t="s">
        <v>8</v>
      </c>
      <c r="D66" t="s">
        <v>12</v>
      </c>
      <c r="E66">
        <v>168.1</v>
      </c>
      <c r="F66">
        <v>180</v>
      </c>
      <c r="G66">
        <v>147.29796598269701</v>
      </c>
      <c r="H66">
        <v>147.2979659826994</v>
      </c>
      <c r="I66">
        <f t="shared" si="0"/>
        <v>441893.89794809819</v>
      </c>
      <c r="J66">
        <v>0.99173498825936435</v>
      </c>
      <c r="K66">
        <v>25</v>
      </c>
      <c r="L66">
        <v>1</v>
      </c>
      <c r="M66">
        <v>3000</v>
      </c>
      <c r="N66">
        <v>82.06</v>
      </c>
      <c r="O66">
        <v>296.14999999999998</v>
      </c>
      <c r="P66">
        <f t="shared" si="1"/>
        <v>1.0287189950781558E-3</v>
      </c>
      <c r="Q66">
        <v>12</v>
      </c>
      <c r="R66">
        <f t="shared" si="2"/>
        <v>5455.0157595400406</v>
      </c>
      <c r="S66">
        <f t="shared" si="3"/>
        <v>30.305643108555781</v>
      </c>
      <c r="T66">
        <f t="shared" si="4"/>
        <v>2182.006303816016</v>
      </c>
    </row>
    <row r="67" spans="1:20" x14ac:dyDescent="0.25">
      <c r="A67" s="1">
        <v>54</v>
      </c>
      <c r="B67" t="s">
        <v>7</v>
      </c>
      <c r="C67" t="s">
        <v>8</v>
      </c>
      <c r="D67" t="s">
        <v>12</v>
      </c>
      <c r="E67">
        <v>168.1</v>
      </c>
      <c r="F67">
        <v>180</v>
      </c>
      <c r="G67">
        <v>316.4905438292115</v>
      </c>
      <c r="H67">
        <v>316.49054382921651</v>
      </c>
      <c r="I67">
        <f t="shared" ref="I67:I130" si="5">H67*3000</f>
        <v>949471.63148764952</v>
      </c>
      <c r="J67">
        <v>0.99858335263302955</v>
      </c>
      <c r="K67">
        <v>25</v>
      </c>
      <c r="L67">
        <v>1</v>
      </c>
      <c r="M67">
        <v>3000</v>
      </c>
      <c r="N67">
        <v>82.06</v>
      </c>
      <c r="O67">
        <v>296.14999999999998</v>
      </c>
      <c r="P67">
        <f t="shared" ref="P67:P130" si="6">(L67*K67)/(N67*O67)</f>
        <v>1.0287189950781558E-3</v>
      </c>
      <c r="Q67">
        <v>12</v>
      </c>
      <c r="R67">
        <f t="shared" ref="R67:R130" si="7">Q67*P67*I67</f>
        <v>11720.874031190302</v>
      </c>
      <c r="S67">
        <f t="shared" ref="S67:S130" si="8">R67/F67</f>
        <v>65.115966839946125</v>
      </c>
      <c r="T67">
        <f t="shared" ref="T67:T130" si="9">S67*72</f>
        <v>4688.3496124761214</v>
      </c>
    </row>
    <row r="68" spans="1:20" x14ac:dyDescent="0.25">
      <c r="A68" s="1">
        <v>55</v>
      </c>
      <c r="B68" t="s">
        <v>7</v>
      </c>
      <c r="C68" t="s">
        <v>8</v>
      </c>
      <c r="D68" t="s">
        <v>12</v>
      </c>
      <c r="E68">
        <v>168.11666666666667</v>
      </c>
      <c r="F68">
        <v>180</v>
      </c>
      <c r="G68">
        <v>553.04805210951997</v>
      </c>
      <c r="H68">
        <v>553.04805210954214</v>
      </c>
      <c r="I68">
        <f t="shared" si="5"/>
        <v>1659144.1563286264</v>
      </c>
      <c r="J68">
        <v>0.99969975444226744</v>
      </c>
      <c r="K68">
        <v>25</v>
      </c>
      <c r="L68">
        <v>1</v>
      </c>
      <c r="M68">
        <v>3000</v>
      </c>
      <c r="N68">
        <v>82.06</v>
      </c>
      <c r="O68">
        <v>296.14999999999998</v>
      </c>
      <c r="P68">
        <f t="shared" si="6"/>
        <v>1.0287189950781558E-3</v>
      </c>
      <c r="Q68">
        <v>12</v>
      </c>
      <c r="R68">
        <f t="shared" si="7"/>
        <v>20481.51731025815</v>
      </c>
      <c r="S68">
        <f t="shared" si="8"/>
        <v>113.78620727921195</v>
      </c>
      <c r="T68">
        <f t="shared" si="9"/>
        <v>8192.6069241032601</v>
      </c>
    </row>
    <row r="69" spans="1:20" x14ac:dyDescent="0.25">
      <c r="A69" s="1">
        <v>56</v>
      </c>
      <c r="B69" t="s">
        <v>7</v>
      </c>
      <c r="C69" t="s">
        <v>8</v>
      </c>
      <c r="D69" t="s">
        <v>12</v>
      </c>
      <c r="E69">
        <v>168.11666666666667</v>
      </c>
      <c r="F69">
        <v>180</v>
      </c>
      <c r="G69">
        <v>464.98589869463501</v>
      </c>
      <c r="H69">
        <v>464.98589869465036</v>
      </c>
      <c r="I69">
        <f t="shared" si="5"/>
        <v>1394957.696083951</v>
      </c>
      <c r="J69">
        <v>0.92538005164301662</v>
      </c>
      <c r="K69">
        <v>25</v>
      </c>
      <c r="L69">
        <v>1</v>
      </c>
      <c r="M69">
        <v>3000</v>
      </c>
      <c r="N69">
        <v>82.06</v>
      </c>
      <c r="O69">
        <v>296.14999999999998</v>
      </c>
      <c r="P69">
        <f t="shared" si="6"/>
        <v>1.0287189950781558E-3</v>
      </c>
      <c r="Q69">
        <v>12</v>
      </c>
      <c r="R69">
        <f t="shared" si="7"/>
        <v>17220.23375150426</v>
      </c>
      <c r="S69">
        <f t="shared" si="8"/>
        <v>95.667965286134773</v>
      </c>
      <c r="T69">
        <f t="shared" si="9"/>
        <v>6888.0935006017035</v>
      </c>
    </row>
    <row r="70" spans="1:20" x14ac:dyDescent="0.25">
      <c r="A70" s="1">
        <v>57</v>
      </c>
      <c r="B70" t="s">
        <v>7</v>
      </c>
      <c r="C70" t="s">
        <v>9</v>
      </c>
      <c r="D70" t="s">
        <v>12</v>
      </c>
      <c r="E70">
        <v>168.15</v>
      </c>
      <c r="F70">
        <v>180</v>
      </c>
      <c r="G70">
        <v>-421.72064002385582</v>
      </c>
      <c r="H70">
        <v>135.19842250130748</v>
      </c>
      <c r="I70">
        <f t="shared" si="5"/>
        <v>405595.26750392246</v>
      </c>
      <c r="J70">
        <v>1</v>
      </c>
      <c r="K70">
        <v>25</v>
      </c>
      <c r="L70">
        <v>1</v>
      </c>
      <c r="M70">
        <v>3000</v>
      </c>
      <c r="N70">
        <v>82.06</v>
      </c>
      <c r="O70">
        <v>296.14999999999998</v>
      </c>
      <c r="P70">
        <f t="shared" si="6"/>
        <v>1.0287189950781558E-3</v>
      </c>
      <c r="Q70">
        <v>12</v>
      </c>
      <c r="R70">
        <f t="shared" si="7"/>
        <v>5006.9226719410908</v>
      </c>
      <c r="S70">
        <f t="shared" si="8"/>
        <v>27.816237066339394</v>
      </c>
      <c r="T70">
        <f t="shared" si="9"/>
        <v>2002.7690687764364</v>
      </c>
    </row>
    <row r="71" spans="1:20" x14ac:dyDescent="0.25">
      <c r="A71" s="1">
        <v>58</v>
      </c>
      <c r="B71" t="s">
        <v>7</v>
      </c>
      <c r="C71" t="s">
        <v>9</v>
      </c>
      <c r="D71" t="s">
        <v>12</v>
      </c>
      <c r="E71">
        <v>168.15</v>
      </c>
      <c r="F71">
        <v>180</v>
      </c>
      <c r="G71">
        <v>73.132866715745934</v>
      </c>
      <c r="H71">
        <v>73.132866715745394</v>
      </c>
      <c r="I71">
        <f t="shared" si="5"/>
        <v>219398.60014723617</v>
      </c>
      <c r="J71">
        <v>1</v>
      </c>
      <c r="K71">
        <v>25</v>
      </c>
      <c r="L71">
        <v>1</v>
      </c>
      <c r="M71">
        <v>3000</v>
      </c>
      <c r="N71">
        <v>82.06</v>
      </c>
      <c r="O71">
        <v>296.14999999999998</v>
      </c>
      <c r="P71">
        <f t="shared" si="6"/>
        <v>1.0287189950781558E-3</v>
      </c>
      <c r="Q71">
        <v>12</v>
      </c>
      <c r="R71">
        <f t="shared" si="7"/>
        <v>2708.394089580227</v>
      </c>
      <c r="S71">
        <f t="shared" si="8"/>
        <v>15.046633831001261</v>
      </c>
      <c r="T71">
        <f t="shared" si="9"/>
        <v>1083.3576358320909</v>
      </c>
    </row>
    <row r="72" spans="1:20" x14ac:dyDescent="0.25">
      <c r="A72" s="1">
        <v>59</v>
      </c>
      <c r="B72" t="s">
        <v>7</v>
      </c>
      <c r="C72" t="s">
        <v>9</v>
      </c>
      <c r="D72" t="s">
        <v>12</v>
      </c>
      <c r="E72">
        <v>168.16666666666666</v>
      </c>
      <c r="F72">
        <v>180</v>
      </c>
      <c r="G72">
        <v>464.33150230178001</v>
      </c>
      <c r="H72">
        <v>464.33150230179837</v>
      </c>
      <c r="I72">
        <f t="shared" si="5"/>
        <v>1392994.5069053951</v>
      </c>
      <c r="J72">
        <v>0.99987359508341467</v>
      </c>
      <c r="K72">
        <v>25</v>
      </c>
      <c r="L72">
        <v>1</v>
      </c>
      <c r="M72">
        <v>3000</v>
      </c>
      <c r="N72">
        <v>82.06</v>
      </c>
      <c r="O72">
        <v>296.14999999999998</v>
      </c>
      <c r="P72">
        <f t="shared" si="6"/>
        <v>1.0287189950781558E-3</v>
      </c>
      <c r="Q72">
        <v>12</v>
      </c>
      <c r="R72">
        <f t="shared" si="7"/>
        <v>17195.998911517308</v>
      </c>
      <c r="S72">
        <f t="shared" si="8"/>
        <v>95.533327286207268</v>
      </c>
      <c r="T72">
        <f t="shared" si="9"/>
        <v>6878.3995646069234</v>
      </c>
    </row>
    <row r="73" spans="1:20" x14ac:dyDescent="0.25">
      <c r="A73" s="1">
        <v>60</v>
      </c>
      <c r="B73" t="s">
        <v>7</v>
      </c>
      <c r="C73" t="s">
        <v>9</v>
      </c>
      <c r="D73" t="s">
        <v>12</v>
      </c>
      <c r="E73">
        <v>168.16666666666666</v>
      </c>
      <c r="F73">
        <v>180</v>
      </c>
      <c r="G73">
        <v>304.93375958089507</v>
      </c>
      <c r="H73">
        <v>304.93375958088683</v>
      </c>
      <c r="I73">
        <f t="shared" si="5"/>
        <v>914801.27874266054</v>
      </c>
      <c r="J73">
        <v>1</v>
      </c>
      <c r="K73">
        <v>25</v>
      </c>
      <c r="L73">
        <v>1</v>
      </c>
      <c r="M73">
        <v>3000</v>
      </c>
      <c r="N73">
        <v>82.06</v>
      </c>
      <c r="O73">
        <v>296.14999999999998</v>
      </c>
      <c r="P73">
        <f t="shared" si="6"/>
        <v>1.0287189950781558E-3</v>
      </c>
      <c r="Q73">
        <v>12</v>
      </c>
      <c r="R73">
        <f t="shared" si="7"/>
        <v>11292.88142597234</v>
      </c>
      <c r="S73">
        <f t="shared" si="8"/>
        <v>62.738230144290782</v>
      </c>
      <c r="T73">
        <f t="shared" si="9"/>
        <v>4517.1525703889365</v>
      </c>
    </row>
    <row r="74" spans="1:20" x14ac:dyDescent="0.25">
      <c r="A74" s="1">
        <v>37</v>
      </c>
      <c r="B74" t="s">
        <v>36</v>
      </c>
      <c r="C74" t="s">
        <v>8</v>
      </c>
      <c r="D74" t="s">
        <v>13</v>
      </c>
      <c r="E74">
        <v>236.16666666666666</v>
      </c>
      <c r="F74">
        <v>180</v>
      </c>
      <c r="G74">
        <v>606.41884794114662</v>
      </c>
      <c r="H74">
        <v>606.41884794118437</v>
      </c>
      <c r="I74">
        <f t="shared" si="5"/>
        <v>1819256.543823553</v>
      </c>
      <c r="J74">
        <v>0.9946358684213692</v>
      </c>
      <c r="K74">
        <v>25</v>
      </c>
      <c r="L74">
        <v>1</v>
      </c>
      <c r="M74">
        <v>3000</v>
      </c>
      <c r="N74">
        <v>82.06</v>
      </c>
      <c r="O74">
        <v>296.14999999999998</v>
      </c>
      <c r="P74">
        <f t="shared" si="6"/>
        <v>1.0287189950781558E-3</v>
      </c>
      <c r="Q74">
        <v>12</v>
      </c>
      <c r="R74">
        <f t="shared" si="7"/>
        <v>22458.045162618291</v>
      </c>
      <c r="S74">
        <f t="shared" si="8"/>
        <v>124.76691757010161</v>
      </c>
      <c r="T74">
        <f t="shared" si="9"/>
        <v>8983.2180650473165</v>
      </c>
    </row>
    <row r="75" spans="1:20" x14ac:dyDescent="0.25">
      <c r="A75" s="1">
        <v>38</v>
      </c>
      <c r="B75" t="s">
        <v>36</v>
      </c>
      <c r="C75" t="s">
        <v>8</v>
      </c>
      <c r="D75" t="s">
        <v>13</v>
      </c>
      <c r="E75">
        <v>236.16666666666666</v>
      </c>
      <c r="F75">
        <v>180</v>
      </c>
      <c r="G75">
        <v>2539.5455863115699</v>
      </c>
      <c r="H75">
        <v>2539.5455863117336</v>
      </c>
      <c r="I75">
        <f t="shared" si="5"/>
        <v>7618636.758935201</v>
      </c>
      <c r="J75">
        <v>0.99971936942782469</v>
      </c>
      <c r="K75">
        <v>25</v>
      </c>
      <c r="L75">
        <v>1</v>
      </c>
      <c r="M75">
        <v>3000</v>
      </c>
      <c r="N75">
        <v>82.06</v>
      </c>
      <c r="O75">
        <v>296.14999999999998</v>
      </c>
      <c r="P75">
        <f t="shared" si="6"/>
        <v>1.0287189950781558E-3</v>
      </c>
      <c r="Q75">
        <v>12</v>
      </c>
      <c r="R75">
        <f t="shared" si="7"/>
        <v>94049.236206207817</v>
      </c>
      <c r="S75">
        <f t="shared" si="8"/>
        <v>522.49575670115451</v>
      </c>
      <c r="T75">
        <f t="shared" si="9"/>
        <v>37619.694482483123</v>
      </c>
    </row>
    <row r="76" spans="1:20" x14ac:dyDescent="0.25">
      <c r="A76" s="1">
        <v>39</v>
      </c>
      <c r="B76" t="s">
        <v>36</v>
      </c>
      <c r="C76" t="s">
        <v>8</v>
      </c>
      <c r="D76" t="s">
        <v>13</v>
      </c>
      <c r="E76">
        <v>236.18333333333334</v>
      </c>
      <c r="F76">
        <v>180</v>
      </c>
      <c r="G76">
        <v>1000.0447867013748</v>
      </c>
      <c r="H76">
        <v>1000.0447867014416</v>
      </c>
      <c r="I76">
        <f t="shared" si="5"/>
        <v>3000134.3601043248</v>
      </c>
      <c r="J76">
        <v>0.99827260314418309</v>
      </c>
      <c r="K76">
        <v>25</v>
      </c>
      <c r="L76">
        <v>1</v>
      </c>
      <c r="M76">
        <v>3000</v>
      </c>
      <c r="N76">
        <v>82.06</v>
      </c>
      <c r="O76">
        <v>296.14999999999998</v>
      </c>
      <c r="P76">
        <f t="shared" si="6"/>
        <v>1.0287189950781558E-3</v>
      </c>
      <c r="Q76">
        <v>12</v>
      </c>
      <c r="R76">
        <f t="shared" si="7"/>
        <v>37035.5424483116</v>
      </c>
      <c r="S76">
        <f t="shared" si="8"/>
        <v>205.75301360173111</v>
      </c>
      <c r="T76">
        <f t="shared" si="9"/>
        <v>14814.216979324639</v>
      </c>
    </row>
    <row r="77" spans="1:20" x14ac:dyDescent="0.25">
      <c r="A77" s="1">
        <v>40</v>
      </c>
      <c r="B77" t="s">
        <v>36</v>
      </c>
      <c r="C77" t="s">
        <v>8</v>
      </c>
      <c r="D77" t="s">
        <v>13</v>
      </c>
      <c r="E77">
        <v>236.18333333333334</v>
      </c>
      <c r="F77">
        <v>180</v>
      </c>
      <c r="G77">
        <v>590.4817910633401</v>
      </c>
      <c r="H77">
        <v>590.4817910633767</v>
      </c>
      <c r="I77">
        <f t="shared" si="5"/>
        <v>1771445.3731901301</v>
      </c>
      <c r="J77">
        <v>0.99410648563745652</v>
      </c>
      <c r="K77">
        <v>25</v>
      </c>
      <c r="L77">
        <v>1</v>
      </c>
      <c r="M77">
        <v>3000</v>
      </c>
      <c r="N77">
        <v>82.06</v>
      </c>
      <c r="O77">
        <v>296.14999999999998</v>
      </c>
      <c r="P77">
        <f t="shared" si="6"/>
        <v>1.0287189950781558E-3</v>
      </c>
      <c r="Q77">
        <v>12</v>
      </c>
      <c r="R77">
        <f t="shared" si="7"/>
        <v>21867.834049727993</v>
      </c>
      <c r="S77">
        <f t="shared" si="8"/>
        <v>121.4879669429333</v>
      </c>
      <c r="T77">
        <f t="shared" si="9"/>
        <v>8747.1336198911977</v>
      </c>
    </row>
    <row r="78" spans="1:20" x14ac:dyDescent="0.25">
      <c r="A78" s="1">
        <v>41</v>
      </c>
      <c r="B78" t="s">
        <v>36</v>
      </c>
      <c r="C78" t="s">
        <v>9</v>
      </c>
      <c r="D78" t="s">
        <v>13</v>
      </c>
      <c r="E78">
        <v>236.2</v>
      </c>
      <c r="F78">
        <v>180</v>
      </c>
      <c r="G78">
        <v>1518.0814830986151</v>
      </c>
      <c r="H78">
        <v>1518.0814830986774</v>
      </c>
      <c r="I78">
        <f t="shared" si="5"/>
        <v>4554244.4492960321</v>
      </c>
      <c r="J78">
        <v>0.9996595486640959</v>
      </c>
      <c r="K78">
        <v>25</v>
      </c>
      <c r="L78">
        <v>1</v>
      </c>
      <c r="M78">
        <v>3000</v>
      </c>
      <c r="N78">
        <v>82.06</v>
      </c>
      <c r="O78">
        <v>296.14999999999998</v>
      </c>
      <c r="P78">
        <f t="shared" si="6"/>
        <v>1.0287189950781558E-3</v>
      </c>
      <c r="Q78">
        <v>12</v>
      </c>
      <c r="R78">
        <f t="shared" si="7"/>
        <v>56220.453278640998</v>
      </c>
      <c r="S78">
        <f t="shared" si="8"/>
        <v>312.33585154800556</v>
      </c>
      <c r="T78">
        <f t="shared" si="9"/>
        <v>22488.181311456399</v>
      </c>
    </row>
    <row r="79" spans="1:20" x14ac:dyDescent="0.25">
      <c r="A79" s="1">
        <v>42</v>
      </c>
      <c r="B79" t="s">
        <v>36</v>
      </c>
      <c r="C79" t="s">
        <v>9</v>
      </c>
      <c r="D79" t="s">
        <v>13</v>
      </c>
      <c r="E79">
        <v>236.2</v>
      </c>
      <c r="F79">
        <v>180</v>
      </c>
      <c r="G79">
        <v>619.56786007818346</v>
      </c>
      <c r="H79">
        <v>619.56786007820824</v>
      </c>
      <c r="I79">
        <f t="shared" si="5"/>
        <v>1858703.5802346247</v>
      </c>
      <c r="J79">
        <v>0.99995230991283079</v>
      </c>
      <c r="K79">
        <v>25</v>
      </c>
      <c r="L79">
        <v>1</v>
      </c>
      <c r="M79">
        <v>3000</v>
      </c>
      <c r="N79">
        <v>82.06</v>
      </c>
      <c r="O79">
        <v>296.14999999999998</v>
      </c>
      <c r="P79">
        <f t="shared" si="6"/>
        <v>1.0287189950781558E-3</v>
      </c>
      <c r="Q79">
        <v>12</v>
      </c>
      <c r="R79">
        <f t="shared" si="7"/>
        <v>22945.004150485602</v>
      </c>
      <c r="S79">
        <f t="shared" si="8"/>
        <v>127.47224528047556</v>
      </c>
      <c r="T79">
        <f t="shared" si="9"/>
        <v>9178.0016601942407</v>
      </c>
    </row>
    <row r="80" spans="1:20" x14ac:dyDescent="0.25">
      <c r="A80" s="1">
        <v>43</v>
      </c>
      <c r="B80" t="s">
        <v>36</v>
      </c>
      <c r="C80" t="s">
        <v>9</v>
      </c>
      <c r="D80" t="s">
        <v>13</v>
      </c>
      <c r="E80">
        <v>236.21666666666667</v>
      </c>
      <c r="F80">
        <v>180</v>
      </c>
      <c r="G80">
        <v>342.59794822664202</v>
      </c>
      <c r="H80">
        <v>342.59794822666447</v>
      </c>
      <c r="I80">
        <f t="shared" si="5"/>
        <v>1027793.8446799935</v>
      </c>
      <c r="J80">
        <v>0.99949065242889967</v>
      </c>
      <c r="K80">
        <v>25</v>
      </c>
      <c r="L80">
        <v>1</v>
      </c>
      <c r="M80">
        <v>3000</v>
      </c>
      <c r="N80">
        <v>82.06</v>
      </c>
      <c r="O80">
        <v>296.14999999999998</v>
      </c>
      <c r="P80">
        <f t="shared" si="6"/>
        <v>1.0287189950781558E-3</v>
      </c>
      <c r="Q80">
        <v>12</v>
      </c>
      <c r="R80">
        <f t="shared" si="7"/>
        <v>12687.732612560605</v>
      </c>
      <c r="S80">
        <f t="shared" si="8"/>
        <v>70.48740340311447</v>
      </c>
      <c r="T80">
        <f t="shared" si="9"/>
        <v>5075.0930450242422</v>
      </c>
    </row>
    <row r="81" spans="1:20" x14ac:dyDescent="0.25">
      <c r="A81" s="1">
        <v>44</v>
      </c>
      <c r="B81" t="s">
        <v>36</v>
      </c>
      <c r="C81" t="s">
        <v>9</v>
      </c>
      <c r="D81" t="s">
        <v>13</v>
      </c>
      <c r="E81">
        <v>236.21666666666667</v>
      </c>
      <c r="F81">
        <v>180</v>
      </c>
      <c r="G81">
        <v>515.44381806597653</v>
      </c>
      <c r="H81">
        <v>515.44381806600904</v>
      </c>
      <c r="I81">
        <f t="shared" si="5"/>
        <v>1546331.454198027</v>
      </c>
      <c r="J81">
        <v>0.99664251195431774</v>
      </c>
      <c r="K81">
        <v>25</v>
      </c>
      <c r="L81">
        <v>1</v>
      </c>
      <c r="M81">
        <v>3000</v>
      </c>
      <c r="N81">
        <v>82.06</v>
      </c>
      <c r="O81">
        <v>296.14999999999998</v>
      </c>
      <c r="P81">
        <f t="shared" si="6"/>
        <v>1.0287189950781558E-3</v>
      </c>
      <c r="Q81">
        <v>12</v>
      </c>
      <c r="R81">
        <f t="shared" si="7"/>
        <v>19088.886475444051</v>
      </c>
      <c r="S81">
        <f t="shared" si="8"/>
        <v>106.04936930802251</v>
      </c>
      <c r="T81">
        <f t="shared" si="9"/>
        <v>7635.5545901776204</v>
      </c>
    </row>
    <row r="82" spans="1:20" x14ac:dyDescent="0.25">
      <c r="A82" s="1">
        <v>45</v>
      </c>
      <c r="B82" t="s">
        <v>6</v>
      </c>
      <c r="C82" t="s">
        <v>8</v>
      </c>
      <c r="D82" t="s">
        <v>13</v>
      </c>
      <c r="E82">
        <v>235.25</v>
      </c>
      <c r="F82">
        <v>180</v>
      </c>
      <c r="G82">
        <v>959.89053724450014</v>
      </c>
      <c r="H82">
        <v>959.89053724456176</v>
      </c>
      <c r="I82">
        <f t="shared" si="5"/>
        <v>2879671.6117336852</v>
      </c>
      <c r="J82">
        <v>0.99938234561195161</v>
      </c>
      <c r="K82">
        <v>25</v>
      </c>
      <c r="L82">
        <v>1</v>
      </c>
      <c r="M82">
        <v>3000</v>
      </c>
      <c r="N82">
        <v>82.06</v>
      </c>
      <c r="O82">
        <v>296.14999999999998</v>
      </c>
      <c r="P82">
        <f t="shared" si="6"/>
        <v>1.0287189950781558E-3</v>
      </c>
      <c r="Q82">
        <v>12</v>
      </c>
      <c r="R82">
        <f t="shared" si="7"/>
        <v>35548.474638933236</v>
      </c>
      <c r="S82">
        <f t="shared" si="8"/>
        <v>197.49152577185131</v>
      </c>
      <c r="T82">
        <f t="shared" si="9"/>
        <v>14219.389855573294</v>
      </c>
    </row>
    <row r="83" spans="1:20" x14ac:dyDescent="0.25">
      <c r="A83" s="1">
        <v>46</v>
      </c>
      <c r="B83" t="s">
        <v>6</v>
      </c>
      <c r="C83" t="s">
        <v>8</v>
      </c>
      <c r="D83" t="s">
        <v>13</v>
      </c>
      <c r="E83">
        <v>235.25</v>
      </c>
      <c r="F83">
        <v>180</v>
      </c>
      <c r="G83">
        <v>668.99227986465996</v>
      </c>
      <c r="H83">
        <v>668.99227986470169</v>
      </c>
      <c r="I83">
        <f t="shared" si="5"/>
        <v>2006976.839594105</v>
      </c>
      <c r="J83">
        <v>0.99485953133115268</v>
      </c>
      <c r="K83">
        <v>25</v>
      </c>
      <c r="L83">
        <v>1</v>
      </c>
      <c r="M83">
        <v>3000</v>
      </c>
      <c r="N83">
        <v>82.06</v>
      </c>
      <c r="O83">
        <v>296.14999999999998</v>
      </c>
      <c r="P83">
        <f t="shared" si="6"/>
        <v>1.0287189950781558E-3</v>
      </c>
      <c r="Q83">
        <v>12</v>
      </c>
      <c r="R83">
        <f t="shared" si="7"/>
        <v>24775.38237086857</v>
      </c>
      <c r="S83">
        <f t="shared" si="8"/>
        <v>137.64101317149206</v>
      </c>
      <c r="T83">
        <f t="shared" si="9"/>
        <v>9910.1529483474278</v>
      </c>
    </row>
    <row r="84" spans="1:20" x14ac:dyDescent="0.25">
      <c r="A84" s="1">
        <v>47</v>
      </c>
      <c r="B84" t="s">
        <v>6</v>
      </c>
      <c r="C84" t="s">
        <v>8</v>
      </c>
      <c r="D84" t="s">
        <v>13</v>
      </c>
      <c r="E84">
        <v>235.26666666666668</v>
      </c>
      <c r="F84">
        <v>180</v>
      </c>
      <c r="G84">
        <v>793.04754312423006</v>
      </c>
      <c r="H84">
        <v>793.04754312426189</v>
      </c>
      <c r="I84">
        <f t="shared" si="5"/>
        <v>2379142.6293727858</v>
      </c>
      <c r="J84">
        <v>0.99999643645214964</v>
      </c>
      <c r="K84">
        <v>25</v>
      </c>
      <c r="L84">
        <v>1</v>
      </c>
      <c r="M84">
        <v>3000</v>
      </c>
      <c r="N84">
        <v>82.06</v>
      </c>
      <c r="O84">
        <v>296.14999999999998</v>
      </c>
      <c r="P84">
        <f t="shared" si="6"/>
        <v>1.0287189950781558E-3</v>
      </c>
      <c r="Q84">
        <v>12</v>
      </c>
      <c r="R84">
        <f t="shared" si="7"/>
        <v>29369.630578031683</v>
      </c>
      <c r="S84">
        <f t="shared" si="8"/>
        <v>163.16461432239825</v>
      </c>
      <c r="T84">
        <f t="shared" si="9"/>
        <v>11747.852231212673</v>
      </c>
    </row>
    <row r="85" spans="1:20" x14ac:dyDescent="0.25">
      <c r="A85" s="1">
        <v>48</v>
      </c>
      <c r="B85" t="s">
        <v>6</v>
      </c>
      <c r="C85" t="s">
        <v>8</v>
      </c>
      <c r="D85" t="s">
        <v>13</v>
      </c>
      <c r="E85">
        <v>235.26666666666668</v>
      </c>
      <c r="F85">
        <v>180</v>
      </c>
      <c r="G85">
        <v>922.28202967474988</v>
      </c>
      <c r="H85">
        <v>922.28202967478808</v>
      </c>
      <c r="I85">
        <f t="shared" si="5"/>
        <v>2766846.089024364</v>
      </c>
      <c r="J85">
        <v>0.99793951169234529</v>
      </c>
      <c r="K85">
        <v>25</v>
      </c>
      <c r="L85">
        <v>1</v>
      </c>
      <c r="M85">
        <v>3000</v>
      </c>
      <c r="N85">
        <v>82.06</v>
      </c>
      <c r="O85">
        <v>296.14999999999998</v>
      </c>
      <c r="P85">
        <f t="shared" si="6"/>
        <v>1.0287189950781558E-3</v>
      </c>
      <c r="Q85">
        <v>12</v>
      </c>
      <c r="R85">
        <f t="shared" si="7"/>
        <v>34155.685538844831</v>
      </c>
      <c r="S85">
        <f t="shared" si="8"/>
        <v>189.75380854913794</v>
      </c>
      <c r="T85">
        <f t="shared" si="9"/>
        <v>13662.274215537931</v>
      </c>
    </row>
    <row r="86" spans="1:20" x14ac:dyDescent="0.25">
      <c r="A86" s="1">
        <v>49</v>
      </c>
      <c r="B86" t="s">
        <v>6</v>
      </c>
      <c r="C86" t="s">
        <v>9</v>
      </c>
      <c r="D86" t="s">
        <v>13</v>
      </c>
      <c r="E86">
        <v>235.3</v>
      </c>
      <c r="F86">
        <v>180</v>
      </c>
      <c r="G86">
        <v>496.04878899161497</v>
      </c>
      <c r="H86">
        <v>496.04878899163526</v>
      </c>
      <c r="I86">
        <f t="shared" si="5"/>
        <v>1488146.3669749058</v>
      </c>
      <c r="J86">
        <v>0.99923977869418146</v>
      </c>
      <c r="K86">
        <v>25</v>
      </c>
      <c r="L86">
        <v>1</v>
      </c>
      <c r="M86">
        <v>3000</v>
      </c>
      <c r="N86">
        <v>82.06</v>
      </c>
      <c r="O86">
        <v>296.14999999999998</v>
      </c>
      <c r="P86">
        <f t="shared" si="6"/>
        <v>1.0287189950781558E-3</v>
      </c>
      <c r="Q86">
        <v>12</v>
      </c>
      <c r="R86">
        <f t="shared" si="7"/>
        <v>18370.613221963602</v>
      </c>
      <c r="S86">
        <f t="shared" si="8"/>
        <v>102.05896234424223</v>
      </c>
      <c r="T86">
        <f t="shared" si="9"/>
        <v>7348.2452887854406</v>
      </c>
    </row>
    <row r="87" spans="1:20" x14ac:dyDescent="0.25">
      <c r="A87" s="1">
        <v>50</v>
      </c>
      <c r="B87" t="s">
        <v>6</v>
      </c>
      <c r="C87" t="s">
        <v>9</v>
      </c>
      <c r="D87" t="s">
        <v>13</v>
      </c>
      <c r="E87">
        <v>235.3</v>
      </c>
      <c r="F87">
        <v>180</v>
      </c>
      <c r="G87">
        <v>960.19695023432007</v>
      </c>
      <c r="H87">
        <v>960.19695023435747</v>
      </c>
      <c r="I87">
        <f t="shared" si="5"/>
        <v>2880590.8507030723</v>
      </c>
      <c r="J87">
        <v>0.99673417396204944</v>
      </c>
      <c r="K87">
        <v>25</v>
      </c>
      <c r="L87">
        <v>1</v>
      </c>
      <c r="M87">
        <v>3000</v>
      </c>
      <c r="N87">
        <v>82.06</v>
      </c>
      <c r="O87">
        <v>296.14999999999998</v>
      </c>
      <c r="P87">
        <f t="shared" si="6"/>
        <v>1.0287189950781558E-3</v>
      </c>
      <c r="Q87">
        <v>12</v>
      </c>
      <c r="R87">
        <f t="shared" si="7"/>
        <v>35559.822301999135</v>
      </c>
      <c r="S87">
        <f t="shared" si="8"/>
        <v>197.55456834443964</v>
      </c>
      <c r="T87">
        <f t="shared" si="9"/>
        <v>14223.928920799655</v>
      </c>
    </row>
    <row r="88" spans="1:20" x14ac:dyDescent="0.25">
      <c r="A88" s="1">
        <v>51</v>
      </c>
      <c r="B88" t="s">
        <v>6</v>
      </c>
      <c r="C88" t="s">
        <v>9</v>
      </c>
      <c r="D88" t="s">
        <v>13</v>
      </c>
      <c r="E88">
        <v>235.31666666666666</v>
      </c>
      <c r="F88">
        <v>180</v>
      </c>
      <c r="G88">
        <v>138.42017838133302</v>
      </c>
      <c r="H88">
        <v>138.42017838133506</v>
      </c>
      <c r="I88">
        <f t="shared" si="5"/>
        <v>415260.5351440052</v>
      </c>
      <c r="J88">
        <v>0.99882556977530212</v>
      </c>
      <c r="K88">
        <v>25</v>
      </c>
      <c r="L88">
        <v>1</v>
      </c>
      <c r="M88">
        <v>3000</v>
      </c>
      <c r="N88">
        <v>82.06</v>
      </c>
      <c r="O88">
        <v>296.14999999999998</v>
      </c>
      <c r="P88">
        <f t="shared" si="6"/>
        <v>1.0287189950781558E-3</v>
      </c>
      <c r="Q88">
        <v>12</v>
      </c>
      <c r="R88">
        <f t="shared" si="7"/>
        <v>5126.2368049074985</v>
      </c>
      <c r="S88">
        <f t="shared" si="8"/>
        <v>28.479093360597215</v>
      </c>
      <c r="T88">
        <f t="shared" si="9"/>
        <v>2050.4947219629994</v>
      </c>
    </row>
    <row r="89" spans="1:20" x14ac:dyDescent="0.25">
      <c r="A89" s="1">
        <v>52</v>
      </c>
      <c r="B89" t="s">
        <v>6</v>
      </c>
      <c r="C89" t="s">
        <v>9</v>
      </c>
      <c r="D89" t="s">
        <v>13</v>
      </c>
      <c r="E89">
        <v>235.31666666666666</v>
      </c>
      <c r="F89">
        <v>180</v>
      </c>
      <c r="G89">
        <v>330.88063512794002</v>
      </c>
      <c r="H89">
        <v>330.8806351279452</v>
      </c>
      <c r="I89">
        <f t="shared" si="5"/>
        <v>992641.90538383555</v>
      </c>
      <c r="J89">
        <v>0.99928887340124251</v>
      </c>
      <c r="K89">
        <v>25</v>
      </c>
      <c r="L89">
        <v>1</v>
      </c>
      <c r="M89">
        <v>3000</v>
      </c>
      <c r="N89">
        <v>82.06</v>
      </c>
      <c r="O89">
        <v>296.14999999999998</v>
      </c>
      <c r="P89">
        <f t="shared" si="6"/>
        <v>1.0287189950781558E-3</v>
      </c>
      <c r="Q89">
        <v>12</v>
      </c>
      <c r="R89">
        <f t="shared" si="7"/>
        <v>12253.795000547101</v>
      </c>
      <c r="S89">
        <f t="shared" si="8"/>
        <v>68.07663889192834</v>
      </c>
      <c r="T89">
        <f t="shared" si="9"/>
        <v>4901.5180002188408</v>
      </c>
    </row>
    <row r="90" spans="1:20" x14ac:dyDescent="0.25">
      <c r="A90" s="1">
        <v>53</v>
      </c>
      <c r="B90" t="s">
        <v>7</v>
      </c>
      <c r="C90" t="s">
        <v>8</v>
      </c>
      <c r="D90" t="s">
        <v>13</v>
      </c>
      <c r="E90">
        <v>239.35</v>
      </c>
      <c r="F90">
        <v>180</v>
      </c>
      <c r="G90">
        <v>139.06499635338503</v>
      </c>
      <c r="H90">
        <v>139.06499635338707</v>
      </c>
      <c r="I90">
        <f t="shared" si="5"/>
        <v>417194.98906016123</v>
      </c>
      <c r="J90">
        <v>0.99694511915756734</v>
      </c>
      <c r="K90">
        <v>25</v>
      </c>
      <c r="L90">
        <v>1</v>
      </c>
      <c r="M90">
        <v>3000</v>
      </c>
      <c r="N90">
        <v>82.06</v>
      </c>
      <c r="O90">
        <v>296.14999999999998</v>
      </c>
      <c r="P90">
        <f t="shared" si="6"/>
        <v>1.0287189950781558E-3</v>
      </c>
      <c r="Q90">
        <v>12</v>
      </c>
      <c r="R90">
        <f t="shared" si="7"/>
        <v>5150.1169187713349</v>
      </c>
      <c r="S90">
        <f t="shared" si="8"/>
        <v>28.611760659840748</v>
      </c>
      <c r="T90">
        <f t="shared" si="9"/>
        <v>2060.0467675085338</v>
      </c>
    </row>
    <row r="91" spans="1:20" x14ac:dyDescent="0.25">
      <c r="A91" s="1">
        <v>54</v>
      </c>
      <c r="B91" t="s">
        <v>7</v>
      </c>
      <c r="C91" t="s">
        <v>8</v>
      </c>
      <c r="D91" t="s">
        <v>13</v>
      </c>
      <c r="E91">
        <v>239.35</v>
      </c>
      <c r="F91">
        <v>180</v>
      </c>
      <c r="G91">
        <v>256.09439832376501</v>
      </c>
      <c r="H91">
        <v>256.09439832376876</v>
      </c>
      <c r="I91">
        <f t="shared" si="5"/>
        <v>768283.19497130625</v>
      </c>
      <c r="J91">
        <v>0.99099567452054182</v>
      </c>
      <c r="K91">
        <v>25</v>
      </c>
      <c r="L91">
        <v>1</v>
      </c>
      <c r="M91">
        <v>3000</v>
      </c>
      <c r="N91">
        <v>82.06</v>
      </c>
      <c r="O91">
        <v>296.14999999999998</v>
      </c>
      <c r="P91">
        <f t="shared" si="6"/>
        <v>1.0287189950781558E-3</v>
      </c>
      <c r="Q91">
        <v>12</v>
      </c>
      <c r="R91">
        <f t="shared" si="7"/>
        <v>9484.1701951958039</v>
      </c>
      <c r="S91">
        <f t="shared" si="8"/>
        <v>52.689834417754469</v>
      </c>
      <c r="T91">
        <f t="shared" si="9"/>
        <v>3793.6680780783217</v>
      </c>
    </row>
    <row r="92" spans="1:20" x14ac:dyDescent="0.25">
      <c r="A92" s="1">
        <v>55</v>
      </c>
      <c r="B92" t="s">
        <v>7</v>
      </c>
      <c r="C92" t="s">
        <v>8</v>
      </c>
      <c r="D92" t="s">
        <v>13</v>
      </c>
      <c r="E92">
        <v>239.36666666666667</v>
      </c>
      <c r="F92">
        <v>180</v>
      </c>
      <c r="G92">
        <v>324.67235383368649</v>
      </c>
      <c r="H92">
        <v>324.67235383369109</v>
      </c>
      <c r="I92">
        <f t="shared" si="5"/>
        <v>974017.0615010733</v>
      </c>
      <c r="J92">
        <v>0.98253457920919263</v>
      </c>
      <c r="K92">
        <v>25</v>
      </c>
      <c r="L92">
        <v>1</v>
      </c>
      <c r="M92">
        <v>3000</v>
      </c>
      <c r="N92">
        <v>82.06</v>
      </c>
      <c r="O92">
        <v>296.14999999999998</v>
      </c>
      <c r="P92">
        <f t="shared" si="6"/>
        <v>1.0287189950781558E-3</v>
      </c>
      <c r="Q92">
        <v>12</v>
      </c>
      <c r="R92">
        <f t="shared" si="7"/>
        <v>12023.878232356348</v>
      </c>
      <c r="S92">
        <f t="shared" si="8"/>
        <v>66.799323513090826</v>
      </c>
      <c r="T92">
        <f t="shared" si="9"/>
        <v>4809.5512929425395</v>
      </c>
    </row>
    <row r="93" spans="1:20" x14ac:dyDescent="0.25">
      <c r="A93" s="1">
        <v>56</v>
      </c>
      <c r="B93" t="s">
        <v>7</v>
      </c>
      <c r="C93" t="s">
        <v>8</v>
      </c>
      <c r="D93" t="s">
        <v>13</v>
      </c>
      <c r="E93">
        <v>239.36666666666667</v>
      </c>
      <c r="F93">
        <v>180</v>
      </c>
      <c r="G93">
        <v>250.33429054950699</v>
      </c>
      <c r="H93">
        <v>250.33429054951071</v>
      </c>
      <c r="I93">
        <f t="shared" si="5"/>
        <v>751002.87164853211</v>
      </c>
      <c r="J93">
        <v>0.9940121293385229</v>
      </c>
      <c r="K93">
        <v>25</v>
      </c>
      <c r="L93">
        <v>1</v>
      </c>
      <c r="M93">
        <v>3000</v>
      </c>
      <c r="N93">
        <v>82.06</v>
      </c>
      <c r="O93">
        <v>296.14999999999998</v>
      </c>
      <c r="P93">
        <f t="shared" si="6"/>
        <v>1.0287189950781558E-3</v>
      </c>
      <c r="Q93">
        <v>12</v>
      </c>
      <c r="R93">
        <f t="shared" si="7"/>
        <v>9270.8510330770459</v>
      </c>
      <c r="S93">
        <f t="shared" si="8"/>
        <v>51.504727961539146</v>
      </c>
      <c r="T93">
        <f t="shared" si="9"/>
        <v>3708.3404132308187</v>
      </c>
    </row>
    <row r="94" spans="1:20" x14ac:dyDescent="0.25">
      <c r="A94" s="1">
        <v>57</v>
      </c>
      <c r="B94" t="s">
        <v>7</v>
      </c>
      <c r="C94" t="s">
        <v>9</v>
      </c>
      <c r="D94" t="s">
        <v>13</v>
      </c>
      <c r="E94">
        <v>239.4</v>
      </c>
      <c r="F94">
        <v>180</v>
      </c>
      <c r="G94">
        <v>173.26667420127103</v>
      </c>
      <c r="H94">
        <v>173.26667420127751</v>
      </c>
      <c r="I94">
        <f t="shared" si="5"/>
        <v>519800.02260383253</v>
      </c>
      <c r="J94">
        <v>0.99482283031045649</v>
      </c>
      <c r="K94">
        <v>25</v>
      </c>
      <c r="L94">
        <v>1</v>
      </c>
      <c r="M94">
        <v>3000</v>
      </c>
      <c r="N94">
        <v>82.06</v>
      </c>
      <c r="O94">
        <v>296.14999999999998</v>
      </c>
      <c r="P94">
        <f t="shared" si="6"/>
        <v>1.0287189950781558E-3</v>
      </c>
      <c r="Q94">
        <v>12</v>
      </c>
      <c r="R94">
        <f t="shared" si="7"/>
        <v>6416.7378827354078</v>
      </c>
      <c r="S94">
        <f t="shared" si="8"/>
        <v>35.648543792974486</v>
      </c>
      <c r="T94">
        <f t="shared" si="9"/>
        <v>2566.6951530941628</v>
      </c>
    </row>
    <row r="95" spans="1:20" x14ac:dyDescent="0.25">
      <c r="A95" s="1">
        <v>58</v>
      </c>
      <c r="B95" t="s">
        <v>7</v>
      </c>
      <c r="C95" t="s">
        <v>9</v>
      </c>
      <c r="D95" t="s">
        <v>13</v>
      </c>
      <c r="E95">
        <v>239.4</v>
      </c>
      <c r="F95">
        <v>180</v>
      </c>
      <c r="G95">
        <v>184.93584752657551</v>
      </c>
      <c r="H95">
        <v>184.93584752658302</v>
      </c>
      <c r="I95">
        <f t="shared" si="5"/>
        <v>554807.54257974902</v>
      </c>
      <c r="J95">
        <v>0.99876223316603552</v>
      </c>
      <c r="K95">
        <v>25</v>
      </c>
      <c r="L95">
        <v>1</v>
      </c>
      <c r="M95">
        <v>3000</v>
      </c>
      <c r="N95">
        <v>82.06</v>
      </c>
      <c r="O95">
        <v>296.14999999999998</v>
      </c>
      <c r="P95">
        <f t="shared" si="6"/>
        <v>1.0287189950781558E-3</v>
      </c>
      <c r="Q95">
        <v>12</v>
      </c>
      <c r="R95">
        <f t="shared" si="7"/>
        <v>6848.8926919730466</v>
      </c>
      <c r="S95">
        <f t="shared" si="8"/>
        <v>38.049403844294702</v>
      </c>
      <c r="T95">
        <f t="shared" si="9"/>
        <v>2739.5570767892186</v>
      </c>
    </row>
    <row r="96" spans="1:20" x14ac:dyDescent="0.25">
      <c r="A96" s="1">
        <v>59</v>
      </c>
      <c r="B96" t="s">
        <v>7</v>
      </c>
      <c r="C96" t="s">
        <v>9</v>
      </c>
      <c r="D96" t="s">
        <v>13</v>
      </c>
      <c r="E96">
        <v>239.41666666666666</v>
      </c>
      <c r="F96">
        <v>180</v>
      </c>
      <c r="G96">
        <v>287.16593390897305</v>
      </c>
      <c r="H96">
        <v>287.16593390898447</v>
      </c>
      <c r="I96">
        <f t="shared" si="5"/>
        <v>861497.80172695336</v>
      </c>
      <c r="J96">
        <v>0.99945290455999547</v>
      </c>
      <c r="K96">
        <v>25</v>
      </c>
      <c r="L96">
        <v>1</v>
      </c>
      <c r="M96">
        <v>3000</v>
      </c>
      <c r="N96">
        <v>82.06</v>
      </c>
      <c r="O96">
        <v>296.14999999999998</v>
      </c>
      <c r="P96">
        <f t="shared" si="6"/>
        <v>1.0287189950781558E-3</v>
      </c>
      <c r="Q96">
        <v>12</v>
      </c>
      <c r="R96">
        <f t="shared" si="7"/>
        <v>10634.869834255102</v>
      </c>
      <c r="S96">
        <f t="shared" si="8"/>
        <v>59.08261019030612</v>
      </c>
      <c r="T96">
        <f t="shared" si="9"/>
        <v>4253.9479337020402</v>
      </c>
    </row>
    <row r="97" spans="1:20" x14ac:dyDescent="0.25">
      <c r="A97" s="1">
        <v>60</v>
      </c>
      <c r="B97" t="s">
        <v>7</v>
      </c>
      <c r="C97" t="s">
        <v>9</v>
      </c>
      <c r="D97" t="s">
        <v>13</v>
      </c>
      <c r="E97">
        <v>239.41666666666666</v>
      </c>
      <c r="F97">
        <v>180</v>
      </c>
      <c r="G97">
        <v>306.34058274846649</v>
      </c>
      <c r="H97">
        <v>306.3405827484782</v>
      </c>
      <c r="I97">
        <f t="shared" si="5"/>
        <v>919021.7482454346</v>
      </c>
      <c r="J97">
        <v>0.99463434912106252</v>
      </c>
      <c r="K97">
        <v>25</v>
      </c>
      <c r="L97">
        <v>1</v>
      </c>
      <c r="M97">
        <v>3000</v>
      </c>
      <c r="N97">
        <v>82.06</v>
      </c>
      <c r="O97">
        <v>296.14999999999998</v>
      </c>
      <c r="P97">
        <f t="shared" si="6"/>
        <v>1.0287189950781558E-3</v>
      </c>
      <c r="Q97">
        <v>12</v>
      </c>
      <c r="R97">
        <f t="shared" si="7"/>
        <v>11344.98155172016</v>
      </c>
      <c r="S97">
        <f t="shared" si="8"/>
        <v>63.027675287334226</v>
      </c>
      <c r="T97">
        <f t="shared" si="9"/>
        <v>4537.9926206880646</v>
      </c>
    </row>
    <row r="98" spans="1:20" x14ac:dyDescent="0.25">
      <c r="A98" s="1">
        <v>37</v>
      </c>
      <c r="B98" t="s">
        <v>36</v>
      </c>
      <c r="C98" t="s">
        <v>8</v>
      </c>
      <c r="D98" t="s">
        <v>14</v>
      </c>
      <c r="E98">
        <v>335.91666666666669</v>
      </c>
      <c r="F98">
        <v>180</v>
      </c>
      <c r="G98">
        <v>489.21083552312405</v>
      </c>
      <c r="H98">
        <v>489.21083552315525</v>
      </c>
      <c r="I98">
        <f t="shared" si="5"/>
        <v>1467632.5065694659</v>
      </c>
      <c r="J98">
        <v>0.99910979288319102</v>
      </c>
      <c r="K98">
        <v>25</v>
      </c>
      <c r="L98">
        <v>1</v>
      </c>
      <c r="M98">
        <v>3000</v>
      </c>
      <c r="N98">
        <v>82.06</v>
      </c>
      <c r="O98">
        <v>296.14999999999998</v>
      </c>
      <c r="P98">
        <f t="shared" si="6"/>
        <v>1.0287189950781558E-3</v>
      </c>
      <c r="Q98">
        <v>12</v>
      </c>
      <c r="R98">
        <f t="shared" si="7"/>
        <v>18117.377247626111</v>
      </c>
      <c r="S98">
        <f t="shared" si="8"/>
        <v>100.65209582014506</v>
      </c>
      <c r="T98">
        <f t="shared" si="9"/>
        <v>7246.9508990504446</v>
      </c>
    </row>
    <row r="99" spans="1:20" x14ac:dyDescent="0.25">
      <c r="A99" s="1">
        <v>38</v>
      </c>
      <c r="B99" t="s">
        <v>36</v>
      </c>
      <c r="C99" t="s">
        <v>8</v>
      </c>
      <c r="D99" t="s">
        <v>14</v>
      </c>
      <c r="E99">
        <v>335.91666666666669</v>
      </c>
      <c r="F99">
        <v>180</v>
      </c>
      <c r="G99">
        <v>758.35642705935061</v>
      </c>
      <c r="H99">
        <v>758.35642705939847</v>
      </c>
      <c r="I99">
        <f t="shared" si="5"/>
        <v>2275069.2811781955</v>
      </c>
      <c r="J99">
        <v>0.99790981184432581</v>
      </c>
      <c r="K99">
        <v>25</v>
      </c>
      <c r="L99">
        <v>1</v>
      </c>
      <c r="M99">
        <v>3000</v>
      </c>
      <c r="N99">
        <v>82.06</v>
      </c>
      <c r="O99">
        <v>296.14999999999998</v>
      </c>
      <c r="P99">
        <f t="shared" si="6"/>
        <v>1.0287189950781558E-3</v>
      </c>
      <c r="Q99">
        <v>12</v>
      </c>
      <c r="R99">
        <f t="shared" si="7"/>
        <v>28084.883816001788</v>
      </c>
      <c r="S99">
        <f t="shared" si="8"/>
        <v>156.02713231112105</v>
      </c>
      <c r="T99">
        <f t="shared" si="9"/>
        <v>11233.953526400715</v>
      </c>
    </row>
    <row r="100" spans="1:20" x14ac:dyDescent="0.25">
      <c r="A100" s="1">
        <v>39</v>
      </c>
      <c r="B100" t="s">
        <v>36</v>
      </c>
      <c r="C100" t="s">
        <v>8</v>
      </c>
      <c r="D100" t="s">
        <v>14</v>
      </c>
      <c r="E100">
        <v>335.93333333333334</v>
      </c>
      <c r="F100">
        <v>180</v>
      </c>
      <c r="G100">
        <v>418.02576669934706</v>
      </c>
      <c r="H100">
        <v>418.02576669937309</v>
      </c>
      <c r="I100">
        <f t="shared" si="5"/>
        <v>1254077.3000981193</v>
      </c>
      <c r="J100">
        <v>0.99476637791777578</v>
      </c>
      <c r="K100">
        <v>25</v>
      </c>
      <c r="L100">
        <v>1</v>
      </c>
      <c r="M100">
        <v>3000</v>
      </c>
      <c r="N100">
        <v>82.06</v>
      </c>
      <c r="O100">
        <v>296.14999999999998</v>
      </c>
      <c r="P100">
        <f t="shared" si="6"/>
        <v>1.0287189950781558E-3</v>
      </c>
      <c r="Q100">
        <v>12</v>
      </c>
      <c r="R100">
        <f t="shared" si="7"/>
        <v>15481.117678887169</v>
      </c>
      <c r="S100">
        <f t="shared" si="8"/>
        <v>86.006209327150941</v>
      </c>
      <c r="T100">
        <f t="shared" si="9"/>
        <v>6192.4470715548678</v>
      </c>
    </row>
    <row r="101" spans="1:20" x14ac:dyDescent="0.25">
      <c r="A101" s="1">
        <v>40</v>
      </c>
      <c r="B101" t="s">
        <v>36</v>
      </c>
      <c r="C101" t="s">
        <v>8</v>
      </c>
      <c r="D101" t="s">
        <v>14</v>
      </c>
      <c r="E101">
        <v>335.93333333333334</v>
      </c>
      <c r="F101">
        <v>180</v>
      </c>
      <c r="G101">
        <v>351.55979158366051</v>
      </c>
      <c r="H101">
        <v>351.55979158368217</v>
      </c>
      <c r="I101">
        <f t="shared" si="5"/>
        <v>1054679.3747510465</v>
      </c>
      <c r="J101">
        <v>0.99161614080124127</v>
      </c>
      <c r="K101">
        <v>25</v>
      </c>
      <c r="L101">
        <v>1</v>
      </c>
      <c r="M101">
        <v>3000</v>
      </c>
      <c r="N101">
        <v>82.06</v>
      </c>
      <c r="O101">
        <v>296.14999999999998</v>
      </c>
      <c r="P101">
        <f t="shared" si="6"/>
        <v>1.0287189950781558E-3</v>
      </c>
      <c r="Q101">
        <v>12</v>
      </c>
      <c r="R101">
        <f t="shared" si="7"/>
        <v>13019.624478282651</v>
      </c>
      <c r="S101">
        <f t="shared" si="8"/>
        <v>72.331247101570284</v>
      </c>
      <c r="T101">
        <f t="shared" si="9"/>
        <v>5207.8497913130605</v>
      </c>
    </row>
    <row r="102" spans="1:20" x14ac:dyDescent="0.25">
      <c r="A102" s="1">
        <v>41</v>
      </c>
      <c r="B102" t="s">
        <v>36</v>
      </c>
      <c r="C102" t="s">
        <v>9</v>
      </c>
      <c r="D102" t="s">
        <v>14</v>
      </c>
      <c r="E102">
        <v>335.95</v>
      </c>
      <c r="F102">
        <v>180</v>
      </c>
      <c r="G102">
        <v>528.91769729301905</v>
      </c>
      <c r="H102">
        <v>528.91769729305281</v>
      </c>
      <c r="I102">
        <f t="shared" si="5"/>
        <v>1586753.0918791585</v>
      </c>
      <c r="J102">
        <v>0.99896290261894216</v>
      </c>
      <c r="K102">
        <v>25</v>
      </c>
      <c r="L102">
        <v>1</v>
      </c>
      <c r="M102">
        <v>3000</v>
      </c>
      <c r="N102">
        <v>82.06</v>
      </c>
      <c r="O102">
        <v>296.14999999999998</v>
      </c>
      <c r="P102">
        <f t="shared" si="6"/>
        <v>1.0287189950781558E-3</v>
      </c>
      <c r="Q102">
        <v>12</v>
      </c>
      <c r="R102">
        <f t="shared" si="7"/>
        <v>19587.876553381015</v>
      </c>
      <c r="S102">
        <f t="shared" si="8"/>
        <v>108.8215364076723</v>
      </c>
      <c r="T102">
        <f t="shared" si="9"/>
        <v>7835.1506213524053</v>
      </c>
    </row>
    <row r="103" spans="1:20" x14ac:dyDescent="0.25">
      <c r="A103" s="1">
        <v>42</v>
      </c>
      <c r="B103" t="s">
        <v>36</v>
      </c>
      <c r="C103" t="s">
        <v>9</v>
      </c>
      <c r="D103" t="s">
        <v>14</v>
      </c>
      <c r="E103">
        <v>335.95</v>
      </c>
      <c r="F103">
        <v>180</v>
      </c>
      <c r="G103">
        <v>356.98990589885295</v>
      </c>
      <c r="H103">
        <v>356.98990589887575</v>
      </c>
      <c r="I103">
        <f t="shared" si="5"/>
        <v>1070969.7176966271</v>
      </c>
      <c r="J103">
        <v>0.99906442271885865</v>
      </c>
      <c r="K103">
        <v>25</v>
      </c>
      <c r="L103">
        <v>1</v>
      </c>
      <c r="M103">
        <v>3000</v>
      </c>
      <c r="N103">
        <v>82.06</v>
      </c>
      <c r="O103">
        <v>296.14999999999998</v>
      </c>
      <c r="P103">
        <f t="shared" si="6"/>
        <v>1.0287189950781558E-3</v>
      </c>
      <c r="Q103">
        <v>12</v>
      </c>
      <c r="R103">
        <f t="shared" si="7"/>
        <v>13220.722700976126</v>
      </c>
      <c r="S103">
        <f t="shared" si="8"/>
        <v>73.448459449867372</v>
      </c>
      <c r="T103">
        <f t="shared" si="9"/>
        <v>5288.2890803904511</v>
      </c>
    </row>
    <row r="104" spans="1:20" x14ac:dyDescent="0.25">
      <c r="A104" s="1">
        <v>43</v>
      </c>
      <c r="B104" t="s">
        <v>36</v>
      </c>
      <c r="C104" t="s">
        <v>9</v>
      </c>
      <c r="D104" t="s">
        <v>14</v>
      </c>
      <c r="E104">
        <v>335.96666666666664</v>
      </c>
      <c r="F104">
        <v>180</v>
      </c>
      <c r="G104">
        <v>272.13870599720906</v>
      </c>
      <c r="H104">
        <v>272.13870599723828</v>
      </c>
      <c r="I104">
        <f t="shared" si="5"/>
        <v>816416.11799171485</v>
      </c>
      <c r="J104">
        <v>0.99088190687037903</v>
      </c>
      <c r="K104">
        <v>25</v>
      </c>
      <c r="L104">
        <v>1</v>
      </c>
      <c r="M104">
        <v>3000</v>
      </c>
      <c r="N104">
        <v>82.06</v>
      </c>
      <c r="O104">
        <v>296.14999999999998</v>
      </c>
      <c r="P104">
        <f t="shared" si="6"/>
        <v>1.0287189950781558E-3</v>
      </c>
      <c r="Q104">
        <v>12</v>
      </c>
      <c r="R104">
        <f t="shared" si="7"/>
        <v>10078.353221592552</v>
      </c>
      <c r="S104">
        <f t="shared" si="8"/>
        <v>55.990851231069733</v>
      </c>
      <c r="T104">
        <f t="shared" si="9"/>
        <v>4031.3412886370206</v>
      </c>
    </row>
    <row r="105" spans="1:20" x14ac:dyDescent="0.25">
      <c r="A105" s="1">
        <v>44</v>
      </c>
      <c r="B105" t="s">
        <v>36</v>
      </c>
      <c r="C105" t="s">
        <v>9</v>
      </c>
      <c r="D105" t="s">
        <v>14</v>
      </c>
      <c r="E105">
        <v>335.96666666666664</v>
      </c>
      <c r="F105">
        <v>180</v>
      </c>
      <c r="G105">
        <v>416.38643386891999</v>
      </c>
      <c r="H105">
        <v>416.38643386896558</v>
      </c>
      <c r="I105">
        <f t="shared" si="5"/>
        <v>1249159.3016068968</v>
      </c>
      <c r="J105">
        <v>0.9955278044609287</v>
      </c>
      <c r="K105">
        <v>25</v>
      </c>
      <c r="L105">
        <v>1</v>
      </c>
      <c r="M105">
        <v>3000</v>
      </c>
      <c r="N105">
        <v>82.06</v>
      </c>
      <c r="O105">
        <v>296.14999999999998</v>
      </c>
      <c r="P105">
        <f t="shared" si="6"/>
        <v>1.0287189950781558E-3</v>
      </c>
      <c r="Q105">
        <v>12</v>
      </c>
      <c r="R105">
        <f t="shared" si="7"/>
        <v>15420.406817298934</v>
      </c>
      <c r="S105">
        <f t="shared" si="8"/>
        <v>85.668926762771861</v>
      </c>
      <c r="T105">
        <f t="shared" si="9"/>
        <v>6168.1627269195742</v>
      </c>
    </row>
    <row r="106" spans="1:20" x14ac:dyDescent="0.25">
      <c r="A106" s="1">
        <v>45</v>
      </c>
      <c r="B106" t="s">
        <v>6</v>
      </c>
      <c r="C106" t="s">
        <v>8</v>
      </c>
      <c r="D106" t="s">
        <v>14</v>
      </c>
      <c r="E106">
        <v>335</v>
      </c>
      <c r="F106">
        <v>180</v>
      </c>
      <c r="G106">
        <v>635.56120040132203</v>
      </c>
      <c r="H106">
        <v>635.56120040133203</v>
      </c>
      <c r="I106">
        <f t="shared" si="5"/>
        <v>1906683.601203996</v>
      </c>
      <c r="J106">
        <v>0.99775454198295588</v>
      </c>
      <c r="K106">
        <v>25</v>
      </c>
      <c r="L106">
        <v>1</v>
      </c>
      <c r="M106">
        <v>3000</v>
      </c>
      <c r="N106">
        <v>82.06</v>
      </c>
      <c r="O106">
        <v>296.14999999999998</v>
      </c>
      <c r="P106">
        <f t="shared" si="6"/>
        <v>1.0287189950781558E-3</v>
      </c>
      <c r="Q106">
        <v>12</v>
      </c>
      <c r="R106">
        <f t="shared" si="7"/>
        <v>23537.299657950887</v>
      </c>
      <c r="S106">
        <f t="shared" si="8"/>
        <v>130.76277587750494</v>
      </c>
      <c r="T106">
        <f t="shared" si="9"/>
        <v>9414.9198631803556</v>
      </c>
    </row>
    <row r="107" spans="1:20" x14ac:dyDescent="0.25">
      <c r="A107" s="1">
        <v>46</v>
      </c>
      <c r="B107" t="s">
        <v>6</v>
      </c>
      <c r="C107" t="s">
        <v>8</v>
      </c>
      <c r="D107" t="s">
        <v>14</v>
      </c>
      <c r="E107">
        <v>335</v>
      </c>
      <c r="F107">
        <v>180</v>
      </c>
      <c r="G107">
        <v>523.02907095190994</v>
      </c>
      <c r="H107">
        <v>523.02907095191802</v>
      </c>
      <c r="I107">
        <f t="shared" si="5"/>
        <v>1569087.212855754</v>
      </c>
      <c r="J107">
        <v>0.99958869963735297</v>
      </c>
      <c r="K107">
        <v>25</v>
      </c>
      <c r="L107">
        <v>1</v>
      </c>
      <c r="M107">
        <v>3000</v>
      </c>
      <c r="N107">
        <v>82.06</v>
      </c>
      <c r="O107">
        <v>296.14999999999998</v>
      </c>
      <c r="P107">
        <f t="shared" si="6"/>
        <v>1.0287189950781558E-3</v>
      </c>
      <c r="Q107">
        <v>12</v>
      </c>
      <c r="R107">
        <f t="shared" si="7"/>
        <v>19369.797849587467</v>
      </c>
      <c r="S107">
        <f t="shared" si="8"/>
        <v>107.60998805326371</v>
      </c>
      <c r="T107">
        <f t="shared" si="9"/>
        <v>7747.9191398349867</v>
      </c>
    </row>
    <row r="108" spans="1:20" x14ac:dyDescent="0.25">
      <c r="A108" s="1">
        <v>47</v>
      </c>
      <c r="B108" t="s">
        <v>6</v>
      </c>
      <c r="C108" t="s">
        <v>8</v>
      </c>
      <c r="D108" t="s">
        <v>14</v>
      </c>
      <c r="E108">
        <v>335.01666666666665</v>
      </c>
      <c r="F108">
        <v>180</v>
      </c>
      <c r="G108">
        <v>625.77120425456042</v>
      </c>
      <c r="H108">
        <v>625.77120425457031</v>
      </c>
      <c r="I108">
        <f t="shared" si="5"/>
        <v>1877313.612763711</v>
      </c>
      <c r="J108">
        <v>0.99999468924067114</v>
      </c>
      <c r="K108">
        <v>25</v>
      </c>
      <c r="L108">
        <v>1</v>
      </c>
      <c r="M108">
        <v>3000</v>
      </c>
      <c r="N108">
        <v>82.06</v>
      </c>
      <c r="O108">
        <v>296.14999999999998</v>
      </c>
      <c r="P108">
        <f t="shared" si="6"/>
        <v>1.0287189950781558E-3</v>
      </c>
      <c r="Q108">
        <v>12</v>
      </c>
      <c r="R108">
        <f t="shared" si="7"/>
        <v>23174.738078025923</v>
      </c>
      <c r="S108">
        <f t="shared" si="8"/>
        <v>128.7485448779218</v>
      </c>
      <c r="T108">
        <f t="shared" si="9"/>
        <v>9269.8952312103702</v>
      </c>
    </row>
    <row r="109" spans="1:20" x14ac:dyDescent="0.25">
      <c r="A109" s="1">
        <v>48</v>
      </c>
      <c r="B109" t="s">
        <v>6</v>
      </c>
      <c r="C109" t="s">
        <v>8</v>
      </c>
      <c r="D109" t="s">
        <v>14</v>
      </c>
      <c r="E109">
        <v>335.01666666666665</v>
      </c>
      <c r="F109">
        <v>180</v>
      </c>
      <c r="G109">
        <v>553.31991947259746</v>
      </c>
      <c r="H109">
        <v>553.31991947260644</v>
      </c>
      <c r="I109">
        <f t="shared" si="5"/>
        <v>1659959.7584178194</v>
      </c>
      <c r="J109">
        <v>0.9985740962864853</v>
      </c>
      <c r="K109">
        <v>25</v>
      </c>
      <c r="L109">
        <v>1</v>
      </c>
      <c r="M109">
        <v>3000</v>
      </c>
      <c r="N109">
        <v>82.06</v>
      </c>
      <c r="O109">
        <v>296.14999999999998</v>
      </c>
      <c r="P109">
        <f t="shared" si="6"/>
        <v>1.0287189950781558E-3</v>
      </c>
      <c r="Q109">
        <v>12</v>
      </c>
      <c r="R109">
        <f t="shared" si="7"/>
        <v>20491.58561459709</v>
      </c>
      <c r="S109">
        <f t="shared" si="8"/>
        <v>113.84214230331716</v>
      </c>
      <c r="T109">
        <f t="shared" si="9"/>
        <v>8196.6342458388353</v>
      </c>
    </row>
    <row r="110" spans="1:20" x14ac:dyDescent="0.25">
      <c r="A110" s="1">
        <v>49</v>
      </c>
      <c r="B110" t="s">
        <v>6</v>
      </c>
      <c r="C110" t="s">
        <v>9</v>
      </c>
      <c r="D110" t="s">
        <v>14</v>
      </c>
      <c r="E110">
        <v>335.05</v>
      </c>
      <c r="F110">
        <v>180</v>
      </c>
      <c r="G110">
        <v>310.03722891448751</v>
      </c>
      <c r="H110">
        <v>310.03722891450832</v>
      </c>
      <c r="I110">
        <f t="shared" si="5"/>
        <v>930111.68674352497</v>
      </c>
      <c r="J110">
        <v>0.99782227984135508</v>
      </c>
      <c r="K110">
        <v>25</v>
      </c>
      <c r="L110">
        <v>1</v>
      </c>
      <c r="M110">
        <v>3000</v>
      </c>
      <c r="N110">
        <v>82.06</v>
      </c>
      <c r="O110">
        <v>296.14999999999998</v>
      </c>
      <c r="P110">
        <f t="shared" si="6"/>
        <v>1.0287189950781558E-3</v>
      </c>
      <c r="Q110">
        <v>12</v>
      </c>
      <c r="R110">
        <f t="shared" si="7"/>
        <v>11481.88271636697</v>
      </c>
      <c r="S110">
        <f t="shared" si="8"/>
        <v>63.788237313149835</v>
      </c>
      <c r="T110">
        <f t="shared" si="9"/>
        <v>4592.7530865467879</v>
      </c>
    </row>
    <row r="111" spans="1:20" x14ac:dyDescent="0.25">
      <c r="A111" s="1">
        <v>50</v>
      </c>
      <c r="B111" t="s">
        <v>6</v>
      </c>
      <c r="C111" t="s">
        <v>9</v>
      </c>
      <c r="D111" t="s">
        <v>14</v>
      </c>
      <c r="E111">
        <v>335.05</v>
      </c>
      <c r="F111">
        <v>180</v>
      </c>
      <c r="G111">
        <v>367.79906385527795</v>
      </c>
      <c r="H111">
        <v>367.7990638553008</v>
      </c>
      <c r="I111">
        <f t="shared" si="5"/>
        <v>1103397.1915659024</v>
      </c>
      <c r="J111">
        <v>0.995475752806529</v>
      </c>
      <c r="K111">
        <v>25</v>
      </c>
      <c r="L111">
        <v>1</v>
      </c>
      <c r="M111">
        <v>3000</v>
      </c>
      <c r="N111">
        <v>82.06</v>
      </c>
      <c r="O111">
        <v>296.14999999999998</v>
      </c>
      <c r="P111">
        <f t="shared" si="6"/>
        <v>1.0287189950781558E-3</v>
      </c>
      <c r="Q111">
        <v>12</v>
      </c>
      <c r="R111">
        <f t="shared" si="7"/>
        <v>13621.027800956814</v>
      </c>
      <c r="S111">
        <f t="shared" si="8"/>
        <v>75.672376671982292</v>
      </c>
      <c r="T111">
        <f t="shared" si="9"/>
        <v>5448.4111203827251</v>
      </c>
    </row>
    <row r="112" spans="1:20" x14ac:dyDescent="0.25">
      <c r="A112" s="1">
        <v>51</v>
      </c>
      <c r="B112" t="s">
        <v>6</v>
      </c>
      <c r="C112" t="s">
        <v>9</v>
      </c>
      <c r="D112" t="s">
        <v>14</v>
      </c>
      <c r="E112">
        <v>335.06666666666666</v>
      </c>
      <c r="F112">
        <v>180</v>
      </c>
      <c r="G112">
        <v>118.06942137365201</v>
      </c>
      <c r="H112">
        <v>118.06942137365944</v>
      </c>
      <c r="I112">
        <f t="shared" si="5"/>
        <v>354208.2641209783</v>
      </c>
      <c r="J112">
        <v>0.99882102580942633</v>
      </c>
      <c r="K112">
        <v>25</v>
      </c>
      <c r="L112">
        <v>1</v>
      </c>
      <c r="M112">
        <v>3000</v>
      </c>
      <c r="N112">
        <v>82.06</v>
      </c>
      <c r="O112">
        <v>296.14999999999998</v>
      </c>
      <c r="P112">
        <f t="shared" si="6"/>
        <v>1.0287189950781558E-3</v>
      </c>
      <c r="Q112">
        <v>12</v>
      </c>
      <c r="R112">
        <f t="shared" si="7"/>
        <v>4372.569234178929</v>
      </c>
      <c r="S112">
        <f t="shared" si="8"/>
        <v>24.29205130099405</v>
      </c>
      <c r="T112">
        <f t="shared" si="9"/>
        <v>1749.0276936715716</v>
      </c>
    </row>
    <row r="113" spans="1:20" x14ac:dyDescent="0.25">
      <c r="A113" s="1">
        <v>52</v>
      </c>
      <c r="B113" t="s">
        <v>6</v>
      </c>
      <c r="C113" t="s">
        <v>9</v>
      </c>
      <c r="D113" t="s">
        <v>14</v>
      </c>
      <c r="E113">
        <v>335.06666666666666</v>
      </c>
      <c r="F113">
        <v>180</v>
      </c>
      <c r="G113">
        <v>308.928873723891</v>
      </c>
      <c r="H113">
        <v>308.92887372391078</v>
      </c>
      <c r="I113">
        <f t="shared" si="5"/>
        <v>926786.62117173232</v>
      </c>
      <c r="J113">
        <v>0.99903492576311925</v>
      </c>
      <c r="K113">
        <v>25</v>
      </c>
      <c r="L113">
        <v>1</v>
      </c>
      <c r="M113">
        <v>3000</v>
      </c>
      <c r="N113">
        <v>82.06</v>
      </c>
      <c r="O113">
        <v>296.14999999999998</v>
      </c>
      <c r="P113">
        <f t="shared" si="6"/>
        <v>1.0287189950781558E-3</v>
      </c>
      <c r="Q113">
        <v>12</v>
      </c>
      <c r="R113">
        <f t="shared" si="7"/>
        <v>11440.836019003968</v>
      </c>
      <c r="S113">
        <f t="shared" si="8"/>
        <v>63.5602001055776</v>
      </c>
      <c r="T113">
        <f t="shared" si="9"/>
        <v>4576.3344076015874</v>
      </c>
    </row>
    <row r="114" spans="1:20" x14ac:dyDescent="0.25">
      <c r="A114" s="1">
        <v>53</v>
      </c>
      <c r="B114" t="s">
        <v>7</v>
      </c>
      <c r="C114" t="s">
        <v>8</v>
      </c>
      <c r="D114" t="s">
        <v>14</v>
      </c>
      <c r="E114">
        <v>339.1</v>
      </c>
      <c r="F114">
        <v>180</v>
      </c>
      <c r="G114">
        <v>111.64002858556597</v>
      </c>
      <c r="H114">
        <v>111.64002858557303</v>
      </c>
      <c r="I114">
        <f t="shared" si="5"/>
        <v>334920.08575671911</v>
      </c>
      <c r="J114">
        <v>0.99795912941539411</v>
      </c>
      <c r="K114">
        <v>25</v>
      </c>
      <c r="L114">
        <v>1</v>
      </c>
      <c r="M114">
        <v>3000</v>
      </c>
      <c r="N114">
        <v>82.06</v>
      </c>
      <c r="O114">
        <v>296.14999999999998</v>
      </c>
      <c r="P114">
        <f t="shared" si="6"/>
        <v>1.0287189950781558E-3</v>
      </c>
      <c r="Q114">
        <v>12</v>
      </c>
      <c r="R114">
        <f t="shared" si="7"/>
        <v>4134.4638486137019</v>
      </c>
      <c r="S114">
        <f t="shared" si="8"/>
        <v>22.969243603409456</v>
      </c>
      <c r="T114">
        <f t="shared" si="9"/>
        <v>1653.7855394454809</v>
      </c>
    </row>
    <row r="115" spans="1:20" x14ac:dyDescent="0.25">
      <c r="A115" s="1">
        <v>54</v>
      </c>
      <c r="B115" t="s">
        <v>7</v>
      </c>
      <c r="C115" t="s">
        <v>8</v>
      </c>
      <c r="D115" t="s">
        <v>14</v>
      </c>
      <c r="E115">
        <v>339.1</v>
      </c>
      <c r="F115">
        <v>180</v>
      </c>
      <c r="G115">
        <v>172.66988550972701</v>
      </c>
      <c r="H115">
        <v>172.66988550973807</v>
      </c>
      <c r="I115">
        <f t="shared" si="5"/>
        <v>518009.65652921417</v>
      </c>
      <c r="J115">
        <v>0.99940607402578774</v>
      </c>
      <c r="K115">
        <v>25</v>
      </c>
      <c r="L115">
        <v>1</v>
      </c>
      <c r="M115">
        <v>3000</v>
      </c>
      <c r="N115">
        <v>82.06</v>
      </c>
      <c r="O115">
        <v>296.14999999999998</v>
      </c>
      <c r="P115">
        <f t="shared" si="6"/>
        <v>1.0287189950781558E-3</v>
      </c>
      <c r="Q115">
        <v>12</v>
      </c>
      <c r="R115">
        <f t="shared" si="7"/>
        <v>6394.6364796661665</v>
      </c>
      <c r="S115">
        <f t="shared" si="8"/>
        <v>35.525758220367592</v>
      </c>
      <c r="T115">
        <f t="shared" si="9"/>
        <v>2557.8545918664668</v>
      </c>
    </row>
    <row r="116" spans="1:20" x14ac:dyDescent="0.25">
      <c r="A116" s="1">
        <v>55</v>
      </c>
      <c r="B116" t="s">
        <v>7</v>
      </c>
      <c r="C116" t="s">
        <v>8</v>
      </c>
      <c r="D116" t="s">
        <v>14</v>
      </c>
      <c r="E116">
        <v>339.11666666666667</v>
      </c>
      <c r="F116">
        <v>180</v>
      </c>
      <c r="G116">
        <v>308.61691682893098</v>
      </c>
      <c r="H116">
        <v>308.61691682893627</v>
      </c>
      <c r="I116">
        <f t="shared" si="5"/>
        <v>925850.75048680883</v>
      </c>
      <c r="J116">
        <v>0.9851152104635359</v>
      </c>
      <c r="K116">
        <v>25</v>
      </c>
      <c r="L116">
        <v>1</v>
      </c>
      <c r="M116">
        <v>3000</v>
      </c>
      <c r="N116">
        <v>82.06</v>
      </c>
      <c r="O116">
        <v>296.14999999999998</v>
      </c>
      <c r="P116">
        <f t="shared" si="6"/>
        <v>1.0287189950781558E-3</v>
      </c>
      <c r="Q116">
        <v>12</v>
      </c>
      <c r="R116">
        <f t="shared" si="7"/>
        <v>11429.283043597756</v>
      </c>
      <c r="S116">
        <f t="shared" si="8"/>
        <v>63.49601690887642</v>
      </c>
      <c r="T116">
        <f t="shared" si="9"/>
        <v>4571.7132174391027</v>
      </c>
    </row>
    <row r="117" spans="1:20" x14ac:dyDescent="0.25">
      <c r="A117" s="1">
        <v>56</v>
      </c>
      <c r="B117" t="s">
        <v>7</v>
      </c>
      <c r="C117" t="s">
        <v>8</v>
      </c>
      <c r="D117" t="s">
        <v>14</v>
      </c>
      <c r="E117">
        <v>339.11666666666667</v>
      </c>
      <c r="F117">
        <v>180</v>
      </c>
      <c r="G117">
        <v>236.18962800295202</v>
      </c>
      <c r="H117">
        <v>236.18962800295571</v>
      </c>
      <c r="I117">
        <f t="shared" si="5"/>
        <v>708568.8840088672</v>
      </c>
      <c r="J117">
        <v>0.99955487342741778</v>
      </c>
      <c r="K117">
        <v>25</v>
      </c>
      <c r="L117">
        <v>1</v>
      </c>
      <c r="M117">
        <v>3000</v>
      </c>
      <c r="N117">
        <v>82.06</v>
      </c>
      <c r="O117">
        <v>296.14999999999998</v>
      </c>
      <c r="P117">
        <f t="shared" si="6"/>
        <v>1.0287189950781558E-3</v>
      </c>
      <c r="Q117">
        <v>12</v>
      </c>
      <c r="R117">
        <f t="shared" si="7"/>
        <v>8747.0192436150264</v>
      </c>
      <c r="S117">
        <f t="shared" si="8"/>
        <v>48.594551353416811</v>
      </c>
      <c r="T117">
        <f t="shared" si="9"/>
        <v>3498.8076974460105</v>
      </c>
    </row>
    <row r="118" spans="1:20" x14ac:dyDescent="0.25">
      <c r="A118" s="1">
        <v>57</v>
      </c>
      <c r="B118" t="s">
        <v>7</v>
      </c>
      <c r="C118" t="s">
        <v>9</v>
      </c>
      <c r="D118" t="s">
        <v>14</v>
      </c>
      <c r="E118">
        <v>339.15</v>
      </c>
      <c r="F118">
        <v>180</v>
      </c>
      <c r="G118">
        <v>180.29443399115155</v>
      </c>
      <c r="H118">
        <v>180.29443399117187</v>
      </c>
      <c r="I118">
        <f t="shared" si="5"/>
        <v>540883.30197351566</v>
      </c>
      <c r="J118">
        <v>0.99959372146563974</v>
      </c>
      <c r="K118">
        <v>25</v>
      </c>
      <c r="L118">
        <v>1</v>
      </c>
      <c r="M118">
        <v>3000</v>
      </c>
      <c r="N118">
        <v>82.06</v>
      </c>
      <c r="O118">
        <v>296.14999999999998</v>
      </c>
      <c r="P118">
        <f t="shared" si="6"/>
        <v>1.0287189950781558E-3</v>
      </c>
      <c r="Q118">
        <v>12</v>
      </c>
      <c r="R118">
        <f t="shared" si="7"/>
        <v>6677.0031223289961</v>
      </c>
      <c r="S118">
        <f t="shared" si="8"/>
        <v>37.094461790716643</v>
      </c>
      <c r="T118">
        <f t="shared" si="9"/>
        <v>2670.8012489315984</v>
      </c>
    </row>
    <row r="119" spans="1:20" x14ac:dyDescent="0.25">
      <c r="A119" s="1">
        <v>58</v>
      </c>
      <c r="B119" t="s">
        <v>7</v>
      </c>
      <c r="C119" t="s">
        <v>9</v>
      </c>
      <c r="D119" t="s">
        <v>14</v>
      </c>
      <c r="E119">
        <v>339.15</v>
      </c>
      <c r="F119">
        <v>180</v>
      </c>
      <c r="G119">
        <v>173.63380649101498</v>
      </c>
      <c r="H119">
        <v>173.63380649103513</v>
      </c>
      <c r="I119">
        <f t="shared" si="5"/>
        <v>520901.4194731054</v>
      </c>
      <c r="J119">
        <v>0.99924972852437843</v>
      </c>
      <c r="K119">
        <v>25</v>
      </c>
      <c r="L119">
        <v>1</v>
      </c>
      <c r="M119">
        <v>3000</v>
      </c>
      <c r="N119">
        <v>82.06</v>
      </c>
      <c r="O119">
        <v>296.14999999999998</v>
      </c>
      <c r="P119">
        <f t="shared" si="6"/>
        <v>1.0287189950781558E-3</v>
      </c>
      <c r="Q119">
        <v>12</v>
      </c>
      <c r="R119">
        <f t="shared" si="7"/>
        <v>6430.3342173018946</v>
      </c>
      <c r="S119">
        <f t="shared" si="8"/>
        <v>35.724078985010529</v>
      </c>
      <c r="T119">
        <f t="shared" si="9"/>
        <v>2572.133686920758</v>
      </c>
    </row>
    <row r="120" spans="1:20" x14ac:dyDescent="0.25">
      <c r="A120" s="1">
        <v>59</v>
      </c>
      <c r="B120" t="s">
        <v>7</v>
      </c>
      <c r="C120" t="s">
        <v>9</v>
      </c>
      <c r="D120" t="s">
        <v>14</v>
      </c>
      <c r="E120">
        <v>339.16666666666669</v>
      </c>
      <c r="F120">
        <v>180</v>
      </c>
      <c r="G120">
        <v>324.72312707407895</v>
      </c>
      <c r="H120">
        <v>324.72312707411584</v>
      </c>
      <c r="I120">
        <f t="shared" si="5"/>
        <v>974169.3812223475</v>
      </c>
      <c r="J120">
        <v>0.99994089996340885</v>
      </c>
      <c r="K120">
        <v>25</v>
      </c>
      <c r="L120">
        <v>1</v>
      </c>
      <c r="M120">
        <v>3000</v>
      </c>
      <c r="N120">
        <v>82.06</v>
      </c>
      <c r="O120">
        <v>296.14999999999998</v>
      </c>
      <c r="P120">
        <f t="shared" si="6"/>
        <v>1.0287189950781558E-3</v>
      </c>
      <c r="Q120">
        <v>12</v>
      </c>
      <c r="R120">
        <f t="shared" si="7"/>
        <v>12025.758562643547</v>
      </c>
      <c r="S120">
        <f t="shared" si="8"/>
        <v>66.809769792464152</v>
      </c>
      <c r="T120">
        <f t="shared" si="9"/>
        <v>4810.3034250574192</v>
      </c>
    </row>
    <row r="121" spans="1:20" x14ac:dyDescent="0.25">
      <c r="A121" s="1">
        <v>60</v>
      </c>
      <c r="B121" t="s">
        <v>7</v>
      </c>
      <c r="C121" t="s">
        <v>9</v>
      </c>
      <c r="D121" t="s">
        <v>14</v>
      </c>
      <c r="E121">
        <v>339.16666666666669</v>
      </c>
      <c r="F121">
        <v>180</v>
      </c>
      <c r="G121">
        <v>216.48621846781805</v>
      </c>
      <c r="H121">
        <v>216.48621846784161</v>
      </c>
      <c r="I121">
        <f t="shared" si="5"/>
        <v>649458.65540352487</v>
      </c>
      <c r="J121">
        <v>0.99461835866195436</v>
      </c>
      <c r="K121">
        <v>25</v>
      </c>
      <c r="L121">
        <v>1</v>
      </c>
      <c r="M121">
        <v>3000</v>
      </c>
      <c r="N121">
        <v>82.06</v>
      </c>
      <c r="O121">
        <v>296.14999999999998</v>
      </c>
      <c r="P121">
        <f t="shared" si="6"/>
        <v>1.0287189950781558E-3</v>
      </c>
      <c r="Q121">
        <v>12</v>
      </c>
      <c r="R121">
        <f t="shared" si="7"/>
        <v>8017.3254639782926</v>
      </c>
      <c r="S121">
        <f t="shared" si="8"/>
        <v>44.540697022101625</v>
      </c>
      <c r="T121">
        <f t="shared" si="9"/>
        <v>3206.9301855913172</v>
      </c>
    </row>
    <row r="122" spans="1:20" x14ac:dyDescent="0.25">
      <c r="A122" s="1">
        <v>37</v>
      </c>
      <c r="B122" t="s">
        <v>36</v>
      </c>
      <c r="C122" t="s">
        <v>8</v>
      </c>
      <c r="D122" t="s">
        <v>15</v>
      </c>
      <c r="E122">
        <v>404.2</v>
      </c>
      <c r="F122">
        <v>180</v>
      </c>
      <c r="G122">
        <v>449.644391728556</v>
      </c>
      <c r="H122">
        <v>449.64439172860506</v>
      </c>
      <c r="I122">
        <f t="shared" si="5"/>
        <v>1348933.1751858152</v>
      </c>
      <c r="J122">
        <v>0.99331755890830509</v>
      </c>
      <c r="K122">
        <v>25</v>
      </c>
      <c r="L122">
        <v>1</v>
      </c>
      <c r="M122">
        <v>3000</v>
      </c>
      <c r="N122">
        <v>82.06</v>
      </c>
      <c r="O122">
        <v>296.14999999999998</v>
      </c>
      <c r="P122">
        <f t="shared" si="6"/>
        <v>1.0287189950781558E-3</v>
      </c>
      <c r="Q122">
        <v>12</v>
      </c>
      <c r="R122">
        <f t="shared" si="7"/>
        <v>16652.078164856852</v>
      </c>
      <c r="S122">
        <f t="shared" si="8"/>
        <v>92.51154536031585</v>
      </c>
      <c r="T122">
        <f t="shared" si="9"/>
        <v>6660.8312659427411</v>
      </c>
    </row>
    <row r="123" spans="1:20" x14ac:dyDescent="0.25">
      <c r="A123" s="1">
        <v>38</v>
      </c>
      <c r="B123" t="s">
        <v>36</v>
      </c>
      <c r="C123" t="s">
        <v>8</v>
      </c>
      <c r="D123" t="s">
        <v>15</v>
      </c>
      <c r="E123">
        <v>404.2</v>
      </c>
      <c r="F123">
        <v>180</v>
      </c>
      <c r="G123">
        <v>405.40844558783596</v>
      </c>
      <c r="H123">
        <v>405.40844558788257</v>
      </c>
      <c r="I123">
        <f t="shared" si="5"/>
        <v>1216225.3367636476</v>
      </c>
      <c r="J123">
        <v>0.9997885706307712</v>
      </c>
      <c r="K123">
        <v>25</v>
      </c>
      <c r="L123">
        <v>1</v>
      </c>
      <c r="M123">
        <v>3000</v>
      </c>
      <c r="N123">
        <v>82.06</v>
      </c>
      <c r="O123">
        <v>296.14999999999998</v>
      </c>
      <c r="P123">
        <f t="shared" si="6"/>
        <v>1.0287189950781558E-3</v>
      </c>
      <c r="Q123">
        <v>12</v>
      </c>
      <c r="R123">
        <f t="shared" si="7"/>
        <v>15013.849274689095</v>
      </c>
      <c r="S123">
        <f t="shared" si="8"/>
        <v>83.410273748272758</v>
      </c>
      <c r="T123">
        <f t="shared" si="9"/>
        <v>6005.5397098756384</v>
      </c>
    </row>
    <row r="124" spans="1:20" x14ac:dyDescent="0.25">
      <c r="A124" s="1">
        <v>39</v>
      </c>
      <c r="B124" t="s">
        <v>36</v>
      </c>
      <c r="C124" t="s">
        <v>8</v>
      </c>
      <c r="D124" t="s">
        <v>15</v>
      </c>
      <c r="E124">
        <v>404.21666666666664</v>
      </c>
      <c r="F124">
        <v>180</v>
      </c>
      <c r="G124">
        <v>258.24939707889246</v>
      </c>
      <c r="H124">
        <v>258.24939707890871</v>
      </c>
      <c r="I124">
        <f t="shared" si="5"/>
        <v>774748.19123672612</v>
      </c>
      <c r="J124">
        <v>0.99790559875522988</v>
      </c>
      <c r="K124">
        <v>25</v>
      </c>
      <c r="L124">
        <v>1</v>
      </c>
      <c r="M124">
        <v>3000</v>
      </c>
      <c r="N124">
        <v>82.06</v>
      </c>
      <c r="O124">
        <v>296.14999999999998</v>
      </c>
      <c r="P124">
        <f t="shared" si="6"/>
        <v>1.0287189950781558E-3</v>
      </c>
      <c r="Q124">
        <v>12</v>
      </c>
      <c r="R124">
        <f t="shared" si="7"/>
        <v>9563.9781687319646</v>
      </c>
      <c r="S124">
        <f t="shared" si="8"/>
        <v>53.133212048510913</v>
      </c>
      <c r="T124">
        <f t="shared" si="9"/>
        <v>3825.5912674927858</v>
      </c>
    </row>
    <row r="125" spans="1:20" x14ac:dyDescent="0.25">
      <c r="A125" s="1">
        <v>40</v>
      </c>
      <c r="B125" t="s">
        <v>36</v>
      </c>
      <c r="C125" t="s">
        <v>8</v>
      </c>
      <c r="D125" t="s">
        <v>15</v>
      </c>
      <c r="E125">
        <v>404.21666666666664</v>
      </c>
      <c r="F125">
        <v>180</v>
      </c>
      <c r="G125">
        <v>415.14789438882195</v>
      </c>
      <c r="H125">
        <v>415.14789438884952</v>
      </c>
      <c r="I125">
        <f t="shared" si="5"/>
        <v>1245443.6831665486</v>
      </c>
      <c r="J125">
        <v>0.99896113130949959</v>
      </c>
      <c r="K125">
        <v>25</v>
      </c>
      <c r="L125">
        <v>1</v>
      </c>
      <c r="M125">
        <v>3000</v>
      </c>
      <c r="N125">
        <v>82.06</v>
      </c>
      <c r="O125">
        <v>296.14999999999998</v>
      </c>
      <c r="P125">
        <f t="shared" si="6"/>
        <v>1.0287189950781558E-3</v>
      </c>
      <c r="Q125">
        <v>12</v>
      </c>
      <c r="R125">
        <f t="shared" si="7"/>
        <v>15374.538890082347</v>
      </c>
      <c r="S125">
        <f t="shared" si="8"/>
        <v>85.414104944901936</v>
      </c>
      <c r="T125">
        <f t="shared" si="9"/>
        <v>6149.8155560329396</v>
      </c>
    </row>
    <row r="126" spans="1:20" x14ac:dyDescent="0.25">
      <c r="A126" s="1">
        <v>41</v>
      </c>
      <c r="B126" t="s">
        <v>36</v>
      </c>
      <c r="C126" t="s">
        <v>9</v>
      </c>
      <c r="D126" t="s">
        <v>15</v>
      </c>
      <c r="E126">
        <v>404.23333333333335</v>
      </c>
      <c r="F126">
        <v>180</v>
      </c>
      <c r="G126">
        <v>254.49591710514056</v>
      </c>
      <c r="H126">
        <v>254.49591710515563</v>
      </c>
      <c r="I126">
        <f t="shared" si="5"/>
        <v>763487.75131546683</v>
      </c>
      <c r="J126">
        <v>0.97711176617144535</v>
      </c>
      <c r="K126">
        <v>25</v>
      </c>
      <c r="L126">
        <v>1</v>
      </c>
      <c r="M126">
        <v>3000</v>
      </c>
      <c r="N126">
        <v>82.06</v>
      </c>
      <c r="O126">
        <v>296.14999999999998</v>
      </c>
      <c r="P126">
        <f t="shared" si="6"/>
        <v>1.0287189950781558E-3</v>
      </c>
      <c r="Q126">
        <v>12</v>
      </c>
      <c r="R126">
        <f t="shared" si="7"/>
        <v>9424.9722274527358</v>
      </c>
      <c r="S126">
        <f t="shared" si="8"/>
        <v>52.360956819181865</v>
      </c>
      <c r="T126">
        <f t="shared" si="9"/>
        <v>3769.9888909810943</v>
      </c>
    </row>
    <row r="127" spans="1:20" x14ac:dyDescent="0.25">
      <c r="A127" s="1">
        <v>42</v>
      </c>
      <c r="B127" t="s">
        <v>36</v>
      </c>
      <c r="C127" t="s">
        <v>9</v>
      </c>
      <c r="D127" t="s">
        <v>15</v>
      </c>
      <c r="E127">
        <v>404.23333333333335</v>
      </c>
      <c r="F127">
        <v>180</v>
      </c>
      <c r="G127">
        <v>289.428934513679</v>
      </c>
      <c r="H127">
        <v>289.42893451369804</v>
      </c>
      <c r="I127">
        <f t="shared" si="5"/>
        <v>868286.80354109406</v>
      </c>
      <c r="J127">
        <v>0.99942081477490818</v>
      </c>
      <c r="K127">
        <v>25</v>
      </c>
      <c r="L127">
        <v>1</v>
      </c>
      <c r="M127">
        <v>3000</v>
      </c>
      <c r="N127">
        <v>82.06</v>
      </c>
      <c r="O127">
        <v>296.14999999999998</v>
      </c>
      <c r="P127">
        <f t="shared" si="6"/>
        <v>1.0287189950781558E-3</v>
      </c>
      <c r="Q127">
        <v>12</v>
      </c>
      <c r="R127">
        <f t="shared" si="7"/>
        <v>10718.677535741021</v>
      </c>
      <c r="S127">
        <f t="shared" si="8"/>
        <v>59.548208531894559</v>
      </c>
      <c r="T127">
        <f t="shared" si="9"/>
        <v>4287.4710142964086</v>
      </c>
    </row>
    <row r="128" spans="1:20" x14ac:dyDescent="0.25">
      <c r="A128" s="1">
        <v>43</v>
      </c>
      <c r="B128" t="s">
        <v>36</v>
      </c>
      <c r="C128" t="s">
        <v>9</v>
      </c>
      <c r="D128" t="s">
        <v>15</v>
      </c>
      <c r="E128">
        <v>404.25</v>
      </c>
      <c r="F128">
        <v>180</v>
      </c>
      <c r="G128">
        <v>232.02109022383007</v>
      </c>
      <c r="H128">
        <v>232.02109022385642</v>
      </c>
      <c r="I128">
        <f t="shared" si="5"/>
        <v>696063.27067156928</v>
      </c>
      <c r="J128">
        <v>0.99989453147181995</v>
      </c>
      <c r="K128">
        <v>25</v>
      </c>
      <c r="L128">
        <v>1</v>
      </c>
      <c r="M128">
        <v>3000</v>
      </c>
      <c r="N128">
        <v>82.06</v>
      </c>
      <c r="O128">
        <v>296.14999999999998</v>
      </c>
      <c r="P128">
        <f t="shared" si="6"/>
        <v>1.0287189950781558E-3</v>
      </c>
      <c r="Q128">
        <v>12</v>
      </c>
      <c r="R128">
        <f t="shared" si="7"/>
        <v>8592.6420997928526</v>
      </c>
      <c r="S128">
        <f t="shared" si="8"/>
        <v>47.736900554404734</v>
      </c>
      <c r="T128">
        <f t="shared" si="9"/>
        <v>3437.0568399171407</v>
      </c>
    </row>
    <row r="129" spans="1:20" x14ac:dyDescent="0.25">
      <c r="A129" s="1">
        <v>44</v>
      </c>
      <c r="B129" t="s">
        <v>36</v>
      </c>
      <c r="C129" t="s">
        <v>9</v>
      </c>
      <c r="D129" t="s">
        <v>15</v>
      </c>
      <c r="E129">
        <v>404.25</v>
      </c>
      <c r="F129">
        <v>180</v>
      </c>
      <c r="G129">
        <v>386.93984301858353</v>
      </c>
      <c r="H129">
        <v>386.93984301862758</v>
      </c>
      <c r="I129">
        <f t="shared" si="5"/>
        <v>1160819.5290558827</v>
      </c>
      <c r="J129">
        <v>0.99996731919470361</v>
      </c>
      <c r="K129">
        <v>25</v>
      </c>
      <c r="L129">
        <v>1</v>
      </c>
      <c r="M129">
        <v>3000</v>
      </c>
      <c r="N129">
        <v>82.06</v>
      </c>
      <c r="O129">
        <v>296.14999999999998</v>
      </c>
      <c r="P129">
        <f t="shared" si="6"/>
        <v>1.0287189950781558E-3</v>
      </c>
      <c r="Q129">
        <v>12</v>
      </c>
      <c r="R129">
        <f t="shared" si="7"/>
        <v>14329.885192769589</v>
      </c>
      <c r="S129">
        <f t="shared" si="8"/>
        <v>79.610473293164375</v>
      </c>
      <c r="T129">
        <f t="shared" si="9"/>
        <v>5731.9540771078355</v>
      </c>
    </row>
    <row r="130" spans="1:20" x14ac:dyDescent="0.25">
      <c r="A130" s="1">
        <v>45</v>
      </c>
      <c r="B130" t="s">
        <v>6</v>
      </c>
      <c r="C130" t="s">
        <v>8</v>
      </c>
      <c r="D130" t="s">
        <v>15</v>
      </c>
      <c r="E130">
        <v>403.28333333333336</v>
      </c>
      <c r="F130">
        <v>180</v>
      </c>
      <c r="G130">
        <v>358.78078388935751</v>
      </c>
      <c r="H130">
        <v>358.78078388938121</v>
      </c>
      <c r="I130">
        <f t="shared" si="5"/>
        <v>1076342.3516681436</v>
      </c>
      <c r="J130">
        <v>0.9995809079007042</v>
      </c>
      <c r="K130">
        <v>25</v>
      </c>
      <c r="L130">
        <v>1</v>
      </c>
      <c r="M130">
        <v>3000</v>
      </c>
      <c r="N130">
        <v>82.06</v>
      </c>
      <c r="O130">
        <v>296.14999999999998</v>
      </c>
      <c r="P130">
        <f t="shared" si="6"/>
        <v>1.0287189950781558E-3</v>
      </c>
      <c r="Q130">
        <v>12</v>
      </c>
      <c r="R130">
        <f t="shared" si="7"/>
        <v>13287.045868417341</v>
      </c>
      <c r="S130">
        <f t="shared" si="8"/>
        <v>73.816921491207452</v>
      </c>
      <c r="T130">
        <f t="shared" si="9"/>
        <v>5314.8183473669369</v>
      </c>
    </row>
    <row r="131" spans="1:20" x14ac:dyDescent="0.25">
      <c r="A131" s="1">
        <v>46</v>
      </c>
      <c r="B131" t="s">
        <v>6</v>
      </c>
      <c r="C131" t="s">
        <v>8</v>
      </c>
      <c r="D131" t="s">
        <v>15</v>
      </c>
      <c r="E131">
        <v>403.28333333333336</v>
      </c>
      <c r="F131">
        <v>180</v>
      </c>
      <c r="G131">
        <v>309.24680589375646</v>
      </c>
      <c r="H131">
        <v>309.24680589377641</v>
      </c>
      <c r="I131">
        <f t="shared" ref="I131:I194" si="10">H131*3000</f>
        <v>927740.41768132919</v>
      </c>
      <c r="J131">
        <v>0.99981320310202826</v>
      </c>
      <c r="K131">
        <v>25</v>
      </c>
      <c r="L131">
        <v>1</v>
      </c>
      <c r="M131">
        <v>3000</v>
      </c>
      <c r="N131">
        <v>82.06</v>
      </c>
      <c r="O131">
        <v>296.14999999999998</v>
      </c>
      <c r="P131">
        <f t="shared" ref="P131:P194" si="11">(L131*K131)/(N131*O131)</f>
        <v>1.0287189950781558E-3</v>
      </c>
      <c r="Q131">
        <v>12</v>
      </c>
      <c r="R131">
        <f t="shared" ref="R131:R194" si="12">Q131*P131*I131</f>
        <v>11452.610282046306</v>
      </c>
      <c r="S131">
        <f t="shared" ref="S131:S194" si="13">R131/F131</f>
        <v>63.625612678035033</v>
      </c>
      <c r="T131">
        <f t="shared" ref="T131:T194" si="14">S131*72</f>
        <v>4581.0441128185221</v>
      </c>
    </row>
    <row r="132" spans="1:20" x14ac:dyDescent="0.25">
      <c r="A132" s="1">
        <v>47</v>
      </c>
      <c r="B132" t="s">
        <v>6</v>
      </c>
      <c r="C132" t="s">
        <v>8</v>
      </c>
      <c r="D132" t="s">
        <v>15</v>
      </c>
      <c r="E132">
        <v>403.3</v>
      </c>
      <c r="F132">
        <v>180</v>
      </c>
      <c r="G132">
        <v>468.44570801817292</v>
      </c>
      <c r="H132">
        <v>468.44570801820208</v>
      </c>
      <c r="I132">
        <f t="shared" si="10"/>
        <v>1405337.1240546063</v>
      </c>
      <c r="J132">
        <v>0.99406080612937031</v>
      </c>
      <c r="K132">
        <v>25</v>
      </c>
      <c r="L132">
        <v>1</v>
      </c>
      <c r="M132">
        <v>3000</v>
      </c>
      <c r="N132">
        <v>82.06</v>
      </c>
      <c r="O132">
        <v>296.14999999999998</v>
      </c>
      <c r="P132">
        <f t="shared" si="11"/>
        <v>1.0287189950781558E-3</v>
      </c>
      <c r="Q132">
        <v>12</v>
      </c>
      <c r="R132">
        <f t="shared" si="12"/>
        <v>17348.363928041763</v>
      </c>
      <c r="S132">
        <f t="shared" si="13"/>
        <v>96.379799600232019</v>
      </c>
      <c r="T132">
        <f t="shared" si="14"/>
        <v>6939.3455712167051</v>
      </c>
    </row>
    <row r="133" spans="1:20" x14ac:dyDescent="0.25">
      <c r="A133" s="1">
        <v>48</v>
      </c>
      <c r="B133" t="s">
        <v>6</v>
      </c>
      <c r="C133" t="s">
        <v>8</v>
      </c>
      <c r="D133" t="s">
        <v>15</v>
      </c>
      <c r="E133">
        <v>403.3</v>
      </c>
      <c r="F133">
        <v>180</v>
      </c>
      <c r="G133">
        <v>337.85180877870198</v>
      </c>
      <c r="H133">
        <v>337.85180877872352</v>
      </c>
      <c r="I133">
        <f t="shared" si="10"/>
        <v>1013555.4263361705</v>
      </c>
      <c r="J133">
        <v>0.99884091062841651</v>
      </c>
      <c r="K133">
        <v>25</v>
      </c>
      <c r="L133">
        <v>1</v>
      </c>
      <c r="M133">
        <v>3000</v>
      </c>
      <c r="N133">
        <v>82.06</v>
      </c>
      <c r="O133">
        <v>296.14999999999998</v>
      </c>
      <c r="P133">
        <f t="shared" si="11"/>
        <v>1.0287189950781558E-3</v>
      </c>
      <c r="Q133">
        <v>12</v>
      </c>
      <c r="R133">
        <f t="shared" si="12"/>
        <v>12511.964635638686</v>
      </c>
      <c r="S133">
        <f t="shared" si="13"/>
        <v>69.510914642437143</v>
      </c>
      <c r="T133">
        <f t="shared" si="14"/>
        <v>5004.7858542554741</v>
      </c>
    </row>
    <row r="134" spans="1:20" x14ac:dyDescent="0.25">
      <c r="A134" s="1">
        <v>49</v>
      </c>
      <c r="B134" t="s">
        <v>6</v>
      </c>
      <c r="C134" t="s">
        <v>9</v>
      </c>
      <c r="D134" t="s">
        <v>15</v>
      </c>
      <c r="E134">
        <v>403.33333333333331</v>
      </c>
      <c r="F134">
        <v>180</v>
      </c>
      <c r="G134">
        <v>175.6706962009855</v>
      </c>
      <c r="H134">
        <v>175.67069620100557</v>
      </c>
      <c r="I134">
        <f t="shared" si="10"/>
        <v>527012.08860301669</v>
      </c>
      <c r="J134">
        <v>0.99999525295254199</v>
      </c>
      <c r="K134">
        <v>25</v>
      </c>
      <c r="L134">
        <v>1</v>
      </c>
      <c r="M134">
        <v>3000</v>
      </c>
      <c r="N134">
        <v>82.06</v>
      </c>
      <c r="O134">
        <v>296.14999999999998</v>
      </c>
      <c r="P134">
        <f t="shared" si="11"/>
        <v>1.0287189950781558E-3</v>
      </c>
      <c r="Q134">
        <v>12</v>
      </c>
      <c r="R134">
        <f t="shared" si="12"/>
        <v>6505.7681541808242</v>
      </c>
      <c r="S134">
        <f t="shared" si="13"/>
        <v>36.143156412115687</v>
      </c>
      <c r="T134">
        <f t="shared" si="14"/>
        <v>2602.3072616723293</v>
      </c>
    </row>
    <row r="135" spans="1:20" x14ac:dyDescent="0.25">
      <c r="A135" s="1">
        <v>50</v>
      </c>
      <c r="B135" t="s">
        <v>6</v>
      </c>
      <c r="C135" t="s">
        <v>9</v>
      </c>
      <c r="D135" t="s">
        <v>15</v>
      </c>
      <c r="E135">
        <v>403.33333333333331</v>
      </c>
      <c r="F135">
        <v>180</v>
      </c>
      <c r="G135">
        <v>264.56387697052952</v>
      </c>
      <c r="H135">
        <v>264.56387697055806</v>
      </c>
      <c r="I135">
        <f t="shared" si="10"/>
        <v>793691.63091167412</v>
      </c>
      <c r="J135">
        <v>0.9922210154129103</v>
      </c>
      <c r="K135">
        <v>25</v>
      </c>
      <c r="L135">
        <v>1</v>
      </c>
      <c r="M135">
        <v>3000</v>
      </c>
      <c r="N135">
        <v>82.06</v>
      </c>
      <c r="O135">
        <v>296.14999999999998</v>
      </c>
      <c r="P135">
        <f t="shared" si="11"/>
        <v>1.0287189950781558E-3</v>
      </c>
      <c r="Q135">
        <v>12</v>
      </c>
      <c r="R135">
        <f t="shared" si="12"/>
        <v>9797.8278834407993</v>
      </c>
      <c r="S135">
        <f t="shared" si="13"/>
        <v>54.432377130226662</v>
      </c>
      <c r="T135">
        <f t="shared" si="14"/>
        <v>3919.1311533763196</v>
      </c>
    </row>
    <row r="136" spans="1:20" x14ac:dyDescent="0.25">
      <c r="A136" s="1">
        <v>51</v>
      </c>
      <c r="B136" t="s">
        <v>6</v>
      </c>
      <c r="C136" t="s">
        <v>9</v>
      </c>
      <c r="D136" t="s">
        <v>15</v>
      </c>
      <c r="E136">
        <v>403.35</v>
      </c>
      <c r="F136">
        <v>180</v>
      </c>
      <c r="G136">
        <v>148.70434870108346</v>
      </c>
      <c r="H136">
        <v>148.70434870108573</v>
      </c>
      <c r="I136">
        <f t="shared" si="10"/>
        <v>446113.04610325722</v>
      </c>
      <c r="J136">
        <v>0.99958874912395923</v>
      </c>
      <c r="K136">
        <v>25</v>
      </c>
      <c r="L136">
        <v>1</v>
      </c>
      <c r="M136">
        <v>3000</v>
      </c>
      <c r="N136">
        <v>82.06</v>
      </c>
      <c r="O136">
        <v>296.14999999999998</v>
      </c>
      <c r="P136">
        <f t="shared" si="11"/>
        <v>1.0287189950781558E-3</v>
      </c>
      <c r="Q136">
        <v>12</v>
      </c>
      <c r="R136">
        <f t="shared" si="12"/>
        <v>5507.0995737431731</v>
      </c>
      <c r="S136">
        <f t="shared" si="13"/>
        <v>30.594997631906516</v>
      </c>
      <c r="T136">
        <f t="shared" si="14"/>
        <v>2202.839829497269</v>
      </c>
    </row>
    <row r="137" spans="1:20" x14ac:dyDescent="0.25">
      <c r="A137" s="1">
        <v>52</v>
      </c>
      <c r="B137" t="s">
        <v>6</v>
      </c>
      <c r="C137" t="s">
        <v>9</v>
      </c>
      <c r="D137" t="s">
        <v>15</v>
      </c>
      <c r="E137">
        <v>403.35</v>
      </c>
      <c r="F137">
        <v>180</v>
      </c>
      <c r="G137">
        <v>412.74315974259554</v>
      </c>
      <c r="H137">
        <v>412.74315974260219</v>
      </c>
      <c r="I137">
        <f t="shared" si="10"/>
        <v>1238229.4792278067</v>
      </c>
      <c r="J137">
        <v>0.99998624641547385</v>
      </c>
      <c r="K137">
        <v>25</v>
      </c>
      <c r="L137">
        <v>1</v>
      </c>
      <c r="M137">
        <v>3000</v>
      </c>
      <c r="N137">
        <v>82.06</v>
      </c>
      <c r="O137">
        <v>296.14999999999998</v>
      </c>
      <c r="P137">
        <f t="shared" si="11"/>
        <v>1.0287189950781558E-3</v>
      </c>
      <c r="Q137">
        <v>12</v>
      </c>
      <c r="R137">
        <f t="shared" si="12"/>
        <v>15285.482226568529</v>
      </c>
      <c r="S137">
        <f t="shared" si="13"/>
        <v>84.919345703158498</v>
      </c>
      <c r="T137">
        <f t="shared" si="14"/>
        <v>6114.1928906274115</v>
      </c>
    </row>
    <row r="138" spans="1:20" x14ac:dyDescent="0.25">
      <c r="A138" s="1">
        <v>53</v>
      </c>
      <c r="B138" t="s">
        <v>7</v>
      </c>
      <c r="C138" t="s">
        <v>8</v>
      </c>
      <c r="D138" t="s">
        <v>15</v>
      </c>
      <c r="E138">
        <v>407.38333333333333</v>
      </c>
      <c r="F138">
        <v>180</v>
      </c>
      <c r="G138">
        <v>107.74888092134898</v>
      </c>
      <c r="H138">
        <v>107.74888092135609</v>
      </c>
      <c r="I138">
        <f t="shared" si="10"/>
        <v>323246.64276406827</v>
      </c>
      <c r="J138">
        <v>0.9989062004964494</v>
      </c>
      <c r="K138">
        <v>25</v>
      </c>
      <c r="L138">
        <v>1</v>
      </c>
      <c r="M138">
        <v>3000</v>
      </c>
      <c r="N138">
        <v>82.06</v>
      </c>
      <c r="O138">
        <v>296.14999999999998</v>
      </c>
      <c r="P138">
        <f t="shared" si="11"/>
        <v>1.0287189950781558E-3</v>
      </c>
      <c r="Q138">
        <v>12</v>
      </c>
      <c r="R138">
        <f t="shared" si="12"/>
        <v>3990.3595380796792</v>
      </c>
      <c r="S138">
        <f t="shared" si="13"/>
        <v>22.168664100442662</v>
      </c>
      <c r="T138">
        <f t="shared" si="14"/>
        <v>1596.1438152318717</v>
      </c>
    </row>
    <row r="139" spans="1:20" x14ac:dyDescent="0.25">
      <c r="A139" s="1">
        <v>54</v>
      </c>
      <c r="B139" t="s">
        <v>7</v>
      </c>
      <c r="C139" t="s">
        <v>8</v>
      </c>
      <c r="D139" t="s">
        <v>15</v>
      </c>
      <c r="E139">
        <v>407.38333333333333</v>
      </c>
      <c r="F139">
        <v>180</v>
      </c>
      <c r="G139">
        <v>297.12988137601803</v>
      </c>
      <c r="H139">
        <v>297.12988137603702</v>
      </c>
      <c r="I139">
        <f t="shared" si="10"/>
        <v>891389.64412811107</v>
      </c>
      <c r="J139">
        <v>0.99933985083544874</v>
      </c>
      <c r="K139">
        <v>25</v>
      </c>
      <c r="L139">
        <v>1</v>
      </c>
      <c r="M139">
        <v>3000</v>
      </c>
      <c r="N139">
        <v>82.06</v>
      </c>
      <c r="O139">
        <v>296.14999999999998</v>
      </c>
      <c r="P139">
        <f t="shared" si="11"/>
        <v>1.0287189950781558E-3</v>
      </c>
      <c r="Q139">
        <v>12</v>
      </c>
      <c r="R139">
        <f t="shared" si="12"/>
        <v>11003.873507166545</v>
      </c>
      <c r="S139">
        <f t="shared" si="13"/>
        <v>61.132630595369697</v>
      </c>
      <c r="T139">
        <f t="shared" si="14"/>
        <v>4401.549402866618</v>
      </c>
    </row>
    <row r="140" spans="1:20" x14ac:dyDescent="0.25">
      <c r="A140" s="1">
        <v>55</v>
      </c>
      <c r="B140" t="s">
        <v>7</v>
      </c>
      <c r="C140" t="s">
        <v>8</v>
      </c>
      <c r="D140" t="s">
        <v>15</v>
      </c>
      <c r="E140">
        <v>407.4</v>
      </c>
      <c r="F140">
        <v>180</v>
      </c>
      <c r="G140">
        <v>287.7137707838915</v>
      </c>
      <c r="H140">
        <v>287.71377078392402</v>
      </c>
      <c r="I140">
        <f t="shared" si="10"/>
        <v>863141.3123517721</v>
      </c>
      <c r="J140">
        <v>0.99992840139261996</v>
      </c>
      <c r="K140">
        <v>25</v>
      </c>
      <c r="L140">
        <v>1</v>
      </c>
      <c r="M140">
        <v>3000</v>
      </c>
      <c r="N140">
        <v>82.06</v>
      </c>
      <c r="O140">
        <v>296.14999999999998</v>
      </c>
      <c r="P140">
        <f t="shared" si="11"/>
        <v>1.0287189950781558E-3</v>
      </c>
      <c r="Q140">
        <v>12</v>
      </c>
      <c r="R140">
        <f t="shared" si="12"/>
        <v>10655.158361435468</v>
      </c>
      <c r="S140">
        <f t="shared" si="13"/>
        <v>59.195324230197045</v>
      </c>
      <c r="T140">
        <f t="shared" si="14"/>
        <v>4262.0633445741869</v>
      </c>
    </row>
    <row r="141" spans="1:20" x14ac:dyDescent="0.25">
      <c r="A141" s="1">
        <v>56</v>
      </c>
      <c r="B141" t="s">
        <v>7</v>
      </c>
      <c r="C141" t="s">
        <v>8</v>
      </c>
      <c r="D141" t="s">
        <v>15</v>
      </c>
      <c r="E141">
        <v>407.4</v>
      </c>
      <c r="F141">
        <v>180</v>
      </c>
      <c r="G141">
        <v>216.95339841071302</v>
      </c>
      <c r="H141">
        <v>216.95339841073698</v>
      </c>
      <c r="I141">
        <f t="shared" si="10"/>
        <v>650860.19523221091</v>
      </c>
      <c r="J141">
        <v>0.99728153664905217</v>
      </c>
      <c r="K141">
        <v>25</v>
      </c>
      <c r="L141">
        <v>1</v>
      </c>
      <c r="M141">
        <v>3000</v>
      </c>
      <c r="N141">
        <v>82.06</v>
      </c>
      <c r="O141">
        <v>296.14999999999998</v>
      </c>
      <c r="P141">
        <f t="shared" si="11"/>
        <v>1.0287189950781558E-3</v>
      </c>
      <c r="Q141">
        <v>12</v>
      </c>
      <c r="R141">
        <f t="shared" si="12"/>
        <v>8034.6269517078281</v>
      </c>
      <c r="S141">
        <f t="shared" si="13"/>
        <v>44.636816398376823</v>
      </c>
      <c r="T141">
        <f t="shared" si="14"/>
        <v>3213.8507806831312</v>
      </c>
    </row>
    <row r="142" spans="1:20" x14ac:dyDescent="0.25">
      <c r="A142" s="1">
        <v>57</v>
      </c>
      <c r="B142" t="s">
        <v>7</v>
      </c>
      <c r="C142" t="s">
        <v>9</v>
      </c>
      <c r="D142" t="s">
        <v>15</v>
      </c>
      <c r="E142">
        <v>407.43333333333334</v>
      </c>
      <c r="F142">
        <v>180</v>
      </c>
      <c r="G142">
        <v>221.83022766284051</v>
      </c>
      <c r="H142">
        <v>221.83022766285461</v>
      </c>
      <c r="I142">
        <f t="shared" si="10"/>
        <v>665490.68298856379</v>
      </c>
      <c r="J142">
        <v>0.99695809797182966</v>
      </c>
      <c r="K142">
        <v>25</v>
      </c>
      <c r="L142">
        <v>1</v>
      </c>
      <c r="M142">
        <v>3000</v>
      </c>
      <c r="N142">
        <v>82.06</v>
      </c>
      <c r="O142">
        <v>296.14999999999998</v>
      </c>
      <c r="P142">
        <f t="shared" si="11"/>
        <v>1.0287189950781558E-3</v>
      </c>
      <c r="Q142">
        <v>12</v>
      </c>
      <c r="R142">
        <f t="shared" si="12"/>
        <v>8215.2348796544502</v>
      </c>
      <c r="S142">
        <f t="shared" si="13"/>
        <v>45.640193775858059</v>
      </c>
      <c r="T142">
        <f t="shared" si="14"/>
        <v>3286.0939518617802</v>
      </c>
    </row>
    <row r="143" spans="1:20" x14ac:dyDescent="0.25">
      <c r="A143" s="1">
        <v>58</v>
      </c>
      <c r="B143" t="s">
        <v>7</v>
      </c>
      <c r="C143" t="s">
        <v>9</v>
      </c>
      <c r="D143" t="s">
        <v>15</v>
      </c>
      <c r="E143">
        <v>407.43333333333334</v>
      </c>
      <c r="F143">
        <v>180</v>
      </c>
      <c r="G143">
        <v>235.86171060250246</v>
      </c>
      <c r="H143">
        <v>235.86171060251863</v>
      </c>
      <c r="I143">
        <f t="shared" si="10"/>
        <v>707585.13180755591</v>
      </c>
      <c r="J143">
        <v>0.99267818272085717</v>
      </c>
      <c r="K143">
        <v>25</v>
      </c>
      <c r="L143">
        <v>1</v>
      </c>
      <c r="M143">
        <v>3000</v>
      </c>
      <c r="N143">
        <v>82.06</v>
      </c>
      <c r="O143">
        <v>296.14999999999998</v>
      </c>
      <c r="P143">
        <f t="shared" si="11"/>
        <v>1.0287189950781558E-3</v>
      </c>
      <c r="Q143">
        <v>12</v>
      </c>
      <c r="R143">
        <f t="shared" si="12"/>
        <v>8734.8751887037597</v>
      </c>
      <c r="S143">
        <f t="shared" si="13"/>
        <v>48.527084381687551</v>
      </c>
      <c r="T143">
        <f t="shared" si="14"/>
        <v>3493.9500754815035</v>
      </c>
    </row>
    <row r="144" spans="1:20" x14ac:dyDescent="0.25">
      <c r="A144" s="1">
        <v>59</v>
      </c>
      <c r="B144" t="s">
        <v>7</v>
      </c>
      <c r="C144" t="s">
        <v>9</v>
      </c>
      <c r="D144" t="s">
        <v>15</v>
      </c>
      <c r="E144">
        <v>407.45</v>
      </c>
      <c r="F144">
        <v>180</v>
      </c>
      <c r="G144">
        <v>329.64634704996956</v>
      </c>
      <c r="H144">
        <v>329.64634705000759</v>
      </c>
      <c r="I144">
        <f t="shared" si="10"/>
        <v>988939.04115002276</v>
      </c>
      <c r="J144">
        <v>0.99974512999007992</v>
      </c>
      <c r="K144">
        <v>25</v>
      </c>
      <c r="L144">
        <v>1</v>
      </c>
      <c r="M144">
        <v>3000</v>
      </c>
      <c r="N144">
        <v>82.06</v>
      </c>
      <c r="O144">
        <v>296.14999999999998</v>
      </c>
      <c r="P144">
        <f t="shared" si="11"/>
        <v>1.0287189950781558E-3</v>
      </c>
      <c r="Q144">
        <v>12</v>
      </c>
      <c r="R144">
        <f t="shared" si="12"/>
        <v>12208.084519264876</v>
      </c>
      <c r="S144">
        <f t="shared" si="13"/>
        <v>67.822691773693748</v>
      </c>
      <c r="T144">
        <f t="shared" si="14"/>
        <v>4883.2338077059503</v>
      </c>
    </row>
    <row r="145" spans="1:20" x14ac:dyDescent="0.25">
      <c r="A145" s="1">
        <v>60</v>
      </c>
      <c r="B145" t="s">
        <v>7</v>
      </c>
      <c r="C145" t="s">
        <v>9</v>
      </c>
      <c r="D145" t="s">
        <v>15</v>
      </c>
      <c r="E145">
        <v>407.45</v>
      </c>
      <c r="F145">
        <v>180</v>
      </c>
      <c r="G145">
        <v>182.31615840574352</v>
      </c>
      <c r="H145">
        <v>182.31615840576421</v>
      </c>
      <c r="I145">
        <f t="shared" si="10"/>
        <v>546948.47521729267</v>
      </c>
      <c r="J145">
        <v>0.99998652960497292</v>
      </c>
      <c r="K145">
        <v>25</v>
      </c>
      <c r="L145">
        <v>1</v>
      </c>
      <c r="M145">
        <v>3000</v>
      </c>
      <c r="N145">
        <v>82.06</v>
      </c>
      <c r="O145">
        <v>296.14999999999998</v>
      </c>
      <c r="P145">
        <f t="shared" si="11"/>
        <v>1.0287189950781558E-3</v>
      </c>
      <c r="Q145">
        <v>12</v>
      </c>
      <c r="R145">
        <f t="shared" si="12"/>
        <v>6751.8754294207547</v>
      </c>
      <c r="S145">
        <f t="shared" si="13"/>
        <v>37.510419052337525</v>
      </c>
      <c r="T145">
        <f t="shared" si="14"/>
        <v>2700.7501717683017</v>
      </c>
    </row>
    <row r="146" spans="1:20" x14ac:dyDescent="0.25">
      <c r="A146" s="1">
        <v>37</v>
      </c>
      <c r="B146" t="s">
        <v>36</v>
      </c>
      <c r="C146" t="s">
        <v>8</v>
      </c>
      <c r="D146" t="s">
        <v>16</v>
      </c>
      <c r="E146">
        <v>500.16666666666669</v>
      </c>
      <c r="F146">
        <v>180</v>
      </c>
      <c r="G146">
        <v>455.96840661057746</v>
      </c>
      <c r="H146">
        <v>455.96840661058462</v>
      </c>
      <c r="I146">
        <f t="shared" si="10"/>
        <v>1367905.2198317538</v>
      </c>
      <c r="J146">
        <v>0.99999760706566854</v>
      </c>
      <c r="K146">
        <v>25</v>
      </c>
      <c r="L146">
        <v>1</v>
      </c>
      <c r="M146">
        <v>3000</v>
      </c>
      <c r="N146">
        <v>82.06</v>
      </c>
      <c r="O146">
        <v>296.14999999999998</v>
      </c>
      <c r="P146">
        <f t="shared" si="11"/>
        <v>1.0287189950781558E-3</v>
      </c>
      <c r="Q146">
        <v>12</v>
      </c>
      <c r="R146">
        <f t="shared" si="12"/>
        <v>16886.280997289825</v>
      </c>
      <c r="S146">
        <f t="shared" si="13"/>
        <v>93.81267220716569</v>
      </c>
      <c r="T146">
        <f t="shared" si="14"/>
        <v>6754.5123989159292</v>
      </c>
    </row>
    <row r="147" spans="1:20" x14ac:dyDescent="0.25">
      <c r="A147" s="1">
        <v>38</v>
      </c>
      <c r="B147" t="s">
        <v>36</v>
      </c>
      <c r="C147" t="s">
        <v>8</v>
      </c>
      <c r="D147" t="s">
        <v>16</v>
      </c>
      <c r="E147">
        <v>500.16666666666669</v>
      </c>
      <c r="F147">
        <v>180</v>
      </c>
      <c r="G147">
        <v>209.10107658408151</v>
      </c>
      <c r="H147">
        <v>209.10107658408458</v>
      </c>
      <c r="I147">
        <f t="shared" si="10"/>
        <v>627303.22975225374</v>
      </c>
      <c r="J147">
        <v>0.98762501480316689</v>
      </c>
      <c r="K147">
        <v>25</v>
      </c>
      <c r="L147">
        <v>1</v>
      </c>
      <c r="M147">
        <v>3000</v>
      </c>
      <c r="N147">
        <v>82.06</v>
      </c>
      <c r="O147">
        <v>296.14999999999998</v>
      </c>
      <c r="P147">
        <f t="shared" si="11"/>
        <v>1.0287189950781558E-3</v>
      </c>
      <c r="Q147">
        <v>12</v>
      </c>
      <c r="R147">
        <f t="shared" si="12"/>
        <v>7743.8249774402393</v>
      </c>
      <c r="S147">
        <f t="shared" si="13"/>
        <v>43.021249874667994</v>
      </c>
      <c r="T147">
        <f t="shared" si="14"/>
        <v>3097.5299909760956</v>
      </c>
    </row>
    <row r="148" spans="1:20" x14ac:dyDescent="0.25">
      <c r="A148" s="1">
        <v>39</v>
      </c>
      <c r="B148" t="s">
        <v>36</v>
      </c>
      <c r="C148" t="s">
        <v>8</v>
      </c>
      <c r="D148" t="s">
        <v>16</v>
      </c>
      <c r="E148">
        <v>500.18333333333334</v>
      </c>
      <c r="F148">
        <v>180</v>
      </c>
      <c r="G148">
        <v>155.19785374183505</v>
      </c>
      <c r="H148">
        <v>155.19785374184474</v>
      </c>
      <c r="I148">
        <f t="shared" si="10"/>
        <v>465593.56122553424</v>
      </c>
      <c r="J148">
        <v>0.99670797749544771</v>
      </c>
      <c r="K148">
        <v>25</v>
      </c>
      <c r="L148">
        <v>1</v>
      </c>
      <c r="M148">
        <v>3000</v>
      </c>
      <c r="N148">
        <v>82.06</v>
      </c>
      <c r="O148">
        <v>296.14999999999998</v>
      </c>
      <c r="P148">
        <f t="shared" si="11"/>
        <v>1.0287189950781558E-3</v>
      </c>
      <c r="Q148">
        <v>12</v>
      </c>
      <c r="R148">
        <f t="shared" si="12"/>
        <v>5747.5792850254966</v>
      </c>
      <c r="S148">
        <f t="shared" si="13"/>
        <v>31.930996027919427</v>
      </c>
      <c r="T148">
        <f t="shared" si="14"/>
        <v>2299.0317140101988</v>
      </c>
    </row>
    <row r="149" spans="1:20" x14ac:dyDescent="0.25">
      <c r="A149" s="1">
        <v>40</v>
      </c>
      <c r="B149" t="s">
        <v>36</v>
      </c>
      <c r="C149" t="s">
        <v>8</v>
      </c>
      <c r="D149" t="s">
        <v>16</v>
      </c>
      <c r="E149">
        <v>500.18333333333334</v>
      </c>
      <c r="F149">
        <v>180</v>
      </c>
      <c r="G149">
        <v>1177.210692020125</v>
      </c>
      <c r="H149">
        <v>1177.2106920202025</v>
      </c>
      <c r="I149">
        <f t="shared" si="10"/>
        <v>3531632.0760606076</v>
      </c>
      <c r="J149">
        <v>0.9995509539667623</v>
      </c>
      <c r="K149">
        <v>25</v>
      </c>
      <c r="L149">
        <v>1</v>
      </c>
      <c r="M149">
        <v>3000</v>
      </c>
      <c r="N149">
        <v>82.06</v>
      </c>
      <c r="O149">
        <v>296.14999999999998</v>
      </c>
      <c r="P149">
        <f t="shared" si="11"/>
        <v>1.0287189950781558E-3</v>
      </c>
      <c r="Q149">
        <v>12</v>
      </c>
      <c r="R149">
        <f t="shared" si="12"/>
        <v>43596.684003250193</v>
      </c>
      <c r="S149">
        <f t="shared" si="13"/>
        <v>242.20380001805663</v>
      </c>
      <c r="T149">
        <f t="shared" si="14"/>
        <v>17438.673601300077</v>
      </c>
    </row>
    <row r="150" spans="1:20" x14ac:dyDescent="0.25">
      <c r="A150" s="1">
        <v>41</v>
      </c>
      <c r="B150" t="s">
        <v>36</v>
      </c>
      <c r="C150" t="s">
        <v>9</v>
      </c>
      <c r="D150" t="s">
        <v>16</v>
      </c>
      <c r="E150">
        <v>500.2</v>
      </c>
      <c r="F150">
        <v>180</v>
      </c>
      <c r="G150">
        <v>392.47600297155901</v>
      </c>
      <c r="H150">
        <v>392.47600297160619</v>
      </c>
      <c r="I150">
        <f t="shared" si="10"/>
        <v>1177428.0089148185</v>
      </c>
      <c r="J150">
        <v>0.99151167025582299</v>
      </c>
      <c r="K150">
        <v>25</v>
      </c>
      <c r="L150">
        <v>1</v>
      </c>
      <c r="M150">
        <v>3000</v>
      </c>
      <c r="N150">
        <v>82.06</v>
      </c>
      <c r="O150">
        <v>296.14999999999998</v>
      </c>
      <c r="P150">
        <f t="shared" si="11"/>
        <v>1.0287189950781558E-3</v>
      </c>
      <c r="Q150">
        <v>12</v>
      </c>
      <c r="R150">
        <f t="shared" si="12"/>
        <v>14534.910697292711</v>
      </c>
      <c r="S150">
        <f t="shared" si="13"/>
        <v>80.749503873848397</v>
      </c>
      <c r="T150">
        <f t="shared" si="14"/>
        <v>5813.9642789170848</v>
      </c>
    </row>
    <row r="151" spans="1:20" x14ac:dyDescent="0.25">
      <c r="A151" s="1">
        <v>42</v>
      </c>
      <c r="B151" t="s">
        <v>36</v>
      </c>
      <c r="C151" t="s">
        <v>9</v>
      </c>
      <c r="D151" t="s">
        <v>16</v>
      </c>
      <c r="E151">
        <v>500.2</v>
      </c>
      <c r="F151">
        <v>180</v>
      </c>
      <c r="G151">
        <v>252.38079441215501</v>
      </c>
      <c r="H151">
        <v>252.38079441218412</v>
      </c>
      <c r="I151">
        <f t="shared" si="10"/>
        <v>757142.38323655236</v>
      </c>
      <c r="J151">
        <v>0.99962108464712429</v>
      </c>
      <c r="K151">
        <v>25</v>
      </c>
      <c r="L151">
        <v>1</v>
      </c>
      <c r="M151">
        <v>3000</v>
      </c>
      <c r="N151">
        <v>82.06</v>
      </c>
      <c r="O151">
        <v>296.14999999999998</v>
      </c>
      <c r="P151">
        <f t="shared" si="11"/>
        <v>1.0287189950781558E-3</v>
      </c>
      <c r="Q151">
        <v>12</v>
      </c>
      <c r="R151">
        <f t="shared" si="12"/>
        <v>9346.6410193702322</v>
      </c>
      <c r="S151">
        <f t="shared" si="13"/>
        <v>51.925783440945736</v>
      </c>
      <c r="T151">
        <f t="shared" si="14"/>
        <v>3738.656407748093</v>
      </c>
    </row>
    <row r="152" spans="1:20" x14ac:dyDescent="0.25">
      <c r="A152" s="1">
        <v>43</v>
      </c>
      <c r="B152" t="s">
        <v>36</v>
      </c>
      <c r="C152" t="s">
        <v>9</v>
      </c>
      <c r="D152" t="s">
        <v>16</v>
      </c>
      <c r="E152">
        <v>500.21666666666664</v>
      </c>
      <c r="F152">
        <v>180</v>
      </c>
      <c r="G152">
        <v>155.41412743342448</v>
      </c>
      <c r="H152">
        <v>155.41412743344273</v>
      </c>
      <c r="I152">
        <f t="shared" si="10"/>
        <v>466242.38230032817</v>
      </c>
      <c r="J152">
        <v>0.99661963760785666</v>
      </c>
      <c r="K152">
        <v>25</v>
      </c>
      <c r="L152">
        <v>1</v>
      </c>
      <c r="M152">
        <v>3000</v>
      </c>
      <c r="N152">
        <v>82.06</v>
      </c>
      <c r="O152">
        <v>296.14999999999998</v>
      </c>
      <c r="P152">
        <f t="shared" si="11"/>
        <v>1.0287189950781558E-3</v>
      </c>
      <c r="Q152">
        <v>12</v>
      </c>
      <c r="R152">
        <f t="shared" si="12"/>
        <v>5755.5887397940669</v>
      </c>
      <c r="S152">
        <f t="shared" si="13"/>
        <v>31.975492998855927</v>
      </c>
      <c r="T152">
        <f t="shared" si="14"/>
        <v>2302.2354959176268</v>
      </c>
    </row>
    <row r="153" spans="1:20" x14ac:dyDescent="0.25">
      <c r="A153" s="1">
        <v>44</v>
      </c>
      <c r="B153" t="s">
        <v>36</v>
      </c>
      <c r="C153" t="s">
        <v>9</v>
      </c>
      <c r="D153" t="s">
        <v>16</v>
      </c>
      <c r="E153">
        <v>500.21666666666664</v>
      </c>
      <c r="F153">
        <v>180</v>
      </c>
      <c r="G153">
        <v>328.91197395957397</v>
      </c>
      <c r="H153">
        <v>328.91197395961251</v>
      </c>
      <c r="I153">
        <f t="shared" si="10"/>
        <v>986735.92187883751</v>
      </c>
      <c r="J153">
        <v>0.99788061023658214</v>
      </c>
      <c r="K153">
        <v>25</v>
      </c>
      <c r="L153">
        <v>1</v>
      </c>
      <c r="M153">
        <v>3000</v>
      </c>
      <c r="N153">
        <v>82.06</v>
      </c>
      <c r="O153">
        <v>296.14999999999998</v>
      </c>
      <c r="P153">
        <f t="shared" si="11"/>
        <v>1.0287189950781558E-3</v>
      </c>
      <c r="Q153">
        <v>12</v>
      </c>
      <c r="R153">
        <f t="shared" si="12"/>
        <v>12180.887831552585</v>
      </c>
      <c r="S153">
        <f t="shared" si="13"/>
        <v>67.671599064181024</v>
      </c>
      <c r="T153">
        <f t="shared" si="14"/>
        <v>4872.3551326210336</v>
      </c>
    </row>
    <row r="154" spans="1:20" x14ac:dyDescent="0.25">
      <c r="A154" s="1">
        <v>45</v>
      </c>
      <c r="B154" t="s">
        <v>6</v>
      </c>
      <c r="C154" t="s">
        <v>8</v>
      </c>
      <c r="D154" t="s">
        <v>16</v>
      </c>
      <c r="E154">
        <v>499.25</v>
      </c>
      <c r="F154">
        <v>180</v>
      </c>
      <c r="G154">
        <v>282.75728364106351</v>
      </c>
      <c r="H154">
        <v>282.75728364108238</v>
      </c>
      <c r="I154">
        <f t="shared" si="10"/>
        <v>848271.85092324717</v>
      </c>
      <c r="J154">
        <v>0.99858125258592267</v>
      </c>
      <c r="K154">
        <v>25</v>
      </c>
      <c r="L154">
        <v>1</v>
      </c>
      <c r="M154">
        <v>3000</v>
      </c>
      <c r="N154">
        <v>82.06</v>
      </c>
      <c r="O154">
        <v>296.14999999999998</v>
      </c>
      <c r="P154">
        <f t="shared" si="11"/>
        <v>1.0287189950781558E-3</v>
      </c>
      <c r="Q154">
        <v>12</v>
      </c>
      <c r="R154">
        <f t="shared" si="12"/>
        <v>10471.6003924182</v>
      </c>
      <c r="S154">
        <f t="shared" si="13"/>
        <v>58.175557735656668</v>
      </c>
      <c r="T154">
        <f t="shared" si="14"/>
        <v>4188.6401569672798</v>
      </c>
    </row>
    <row r="155" spans="1:20" x14ac:dyDescent="0.25">
      <c r="A155" s="1">
        <v>46</v>
      </c>
      <c r="B155" t="s">
        <v>6</v>
      </c>
      <c r="C155" t="s">
        <v>8</v>
      </c>
      <c r="D155" t="s">
        <v>16</v>
      </c>
      <c r="E155">
        <v>499.25</v>
      </c>
      <c r="F155">
        <v>180</v>
      </c>
      <c r="G155">
        <v>209.10847362910948</v>
      </c>
      <c r="H155">
        <v>209.10847362912276</v>
      </c>
      <c r="I155">
        <f t="shared" si="10"/>
        <v>627325.42088736827</v>
      </c>
      <c r="J155">
        <v>0.99823012221828644</v>
      </c>
      <c r="K155">
        <v>25</v>
      </c>
      <c r="L155">
        <v>1</v>
      </c>
      <c r="M155">
        <v>3000</v>
      </c>
      <c r="N155">
        <v>82.06</v>
      </c>
      <c r="O155">
        <v>296.14999999999998</v>
      </c>
      <c r="P155">
        <f t="shared" si="11"/>
        <v>1.0287189950781558E-3</v>
      </c>
      <c r="Q155">
        <v>12</v>
      </c>
      <c r="R155">
        <f t="shared" si="12"/>
        <v>7744.0989187468158</v>
      </c>
      <c r="S155">
        <f t="shared" si="13"/>
        <v>43.022771770815645</v>
      </c>
      <c r="T155">
        <f t="shared" si="14"/>
        <v>3097.6395674987266</v>
      </c>
    </row>
    <row r="156" spans="1:20" x14ac:dyDescent="0.25">
      <c r="A156" s="1">
        <v>47</v>
      </c>
      <c r="B156" t="s">
        <v>6</v>
      </c>
      <c r="C156" t="s">
        <v>8</v>
      </c>
      <c r="D156" t="s">
        <v>16</v>
      </c>
      <c r="E156">
        <v>499.26666666666665</v>
      </c>
      <c r="F156">
        <v>180</v>
      </c>
      <c r="G156">
        <v>576.18884508026986</v>
      </c>
      <c r="H156">
        <v>576.18884508033591</v>
      </c>
      <c r="I156">
        <f t="shared" si="10"/>
        <v>1728566.5352410078</v>
      </c>
      <c r="J156">
        <v>0.99997430995825853</v>
      </c>
      <c r="K156">
        <v>25</v>
      </c>
      <c r="L156">
        <v>1</v>
      </c>
      <c r="M156">
        <v>3000</v>
      </c>
      <c r="N156">
        <v>82.06</v>
      </c>
      <c r="O156">
        <v>296.14999999999998</v>
      </c>
      <c r="P156">
        <f t="shared" si="11"/>
        <v>1.0287189950781558E-3</v>
      </c>
      <c r="Q156">
        <v>12</v>
      </c>
      <c r="R156">
        <f t="shared" si="12"/>
        <v>21338.510748706311</v>
      </c>
      <c r="S156">
        <f t="shared" si="13"/>
        <v>118.54728193725728</v>
      </c>
      <c r="T156">
        <f t="shared" si="14"/>
        <v>8535.4042994825249</v>
      </c>
    </row>
    <row r="157" spans="1:20" x14ac:dyDescent="0.25">
      <c r="A157" s="1">
        <v>48</v>
      </c>
      <c r="B157" t="s">
        <v>6</v>
      </c>
      <c r="C157" t="s">
        <v>8</v>
      </c>
      <c r="D157" t="s">
        <v>16</v>
      </c>
      <c r="E157">
        <v>499.26666666666665</v>
      </c>
      <c r="F157">
        <v>180</v>
      </c>
      <c r="G157">
        <v>258.04320675070954</v>
      </c>
      <c r="H157">
        <v>258.04320675073791</v>
      </c>
      <c r="I157">
        <f t="shared" si="10"/>
        <v>774129.62025221367</v>
      </c>
      <c r="J157">
        <v>0.99650234097174628</v>
      </c>
      <c r="K157">
        <v>25</v>
      </c>
      <c r="L157">
        <v>1</v>
      </c>
      <c r="M157">
        <v>3000</v>
      </c>
      <c r="N157">
        <v>82.06</v>
      </c>
      <c r="O157">
        <v>296.14999999999998</v>
      </c>
      <c r="P157">
        <f t="shared" si="11"/>
        <v>1.0287189950781558E-3</v>
      </c>
      <c r="Q157">
        <v>12</v>
      </c>
      <c r="R157">
        <f t="shared" si="12"/>
        <v>9556.3421400730986</v>
      </c>
      <c r="S157">
        <f t="shared" si="13"/>
        <v>53.090789667072769</v>
      </c>
      <c r="T157">
        <f t="shared" si="14"/>
        <v>3822.5368560292395</v>
      </c>
    </row>
    <row r="158" spans="1:20" x14ac:dyDescent="0.25">
      <c r="A158" s="1">
        <v>49</v>
      </c>
      <c r="B158" t="s">
        <v>6</v>
      </c>
      <c r="C158" t="s">
        <v>9</v>
      </c>
      <c r="D158" t="s">
        <v>16</v>
      </c>
      <c r="E158">
        <v>499.3</v>
      </c>
      <c r="F158">
        <v>180</v>
      </c>
      <c r="G158">
        <v>122.63178327510997</v>
      </c>
      <c r="H158">
        <v>122.63178327511181</v>
      </c>
      <c r="I158">
        <f t="shared" si="10"/>
        <v>367895.34982533543</v>
      </c>
      <c r="J158">
        <v>0.99949479416721865</v>
      </c>
      <c r="K158">
        <v>25</v>
      </c>
      <c r="L158">
        <v>1</v>
      </c>
      <c r="M158">
        <v>3000</v>
      </c>
      <c r="N158">
        <v>82.06</v>
      </c>
      <c r="O158">
        <v>296.14999999999998</v>
      </c>
      <c r="P158">
        <f t="shared" si="11"/>
        <v>1.0287189950781558E-3</v>
      </c>
      <c r="Q158">
        <v>12</v>
      </c>
      <c r="R158">
        <f t="shared" si="12"/>
        <v>4541.531214794948</v>
      </c>
      <c r="S158">
        <f t="shared" si="13"/>
        <v>25.230728971083046</v>
      </c>
      <c r="T158">
        <f t="shared" si="14"/>
        <v>1816.6124859179793</v>
      </c>
    </row>
    <row r="159" spans="1:20" x14ac:dyDescent="0.25">
      <c r="A159" s="1">
        <v>50</v>
      </c>
      <c r="B159" t="s">
        <v>6</v>
      </c>
      <c r="C159" t="s">
        <v>9</v>
      </c>
      <c r="D159" t="s">
        <v>16</v>
      </c>
      <c r="E159">
        <v>499.3</v>
      </c>
      <c r="F159">
        <v>180</v>
      </c>
      <c r="G159">
        <v>181.27868946764346</v>
      </c>
      <c r="H159">
        <v>181.27868946764607</v>
      </c>
      <c r="I159">
        <f t="shared" si="10"/>
        <v>543836.0684029382</v>
      </c>
      <c r="J159">
        <v>0.99956095779704413</v>
      </c>
      <c r="K159">
        <v>25</v>
      </c>
      <c r="L159">
        <v>1</v>
      </c>
      <c r="M159">
        <v>3000</v>
      </c>
      <c r="N159">
        <v>82.06</v>
      </c>
      <c r="O159">
        <v>296.14999999999998</v>
      </c>
      <c r="P159">
        <f t="shared" si="11"/>
        <v>1.0287189950781558E-3</v>
      </c>
      <c r="Q159">
        <v>12</v>
      </c>
      <c r="R159">
        <f t="shared" si="12"/>
        <v>6713.4539252967097</v>
      </c>
      <c r="S159">
        <f t="shared" si="13"/>
        <v>37.296966251648385</v>
      </c>
      <c r="T159">
        <f t="shared" si="14"/>
        <v>2685.3815701186836</v>
      </c>
    </row>
    <row r="160" spans="1:20" x14ac:dyDescent="0.25">
      <c r="A160" s="1">
        <v>51</v>
      </c>
      <c r="B160" t="s">
        <v>6</v>
      </c>
      <c r="C160" t="s">
        <v>9</v>
      </c>
      <c r="D160" t="s">
        <v>16</v>
      </c>
      <c r="E160">
        <v>499.31666666666666</v>
      </c>
      <c r="F160">
        <v>180</v>
      </c>
      <c r="G160">
        <v>119.76679988922155</v>
      </c>
      <c r="H160">
        <v>119.76679988922939</v>
      </c>
      <c r="I160">
        <f t="shared" si="10"/>
        <v>359300.39966768818</v>
      </c>
      <c r="J160">
        <v>0.99951599436771166</v>
      </c>
      <c r="K160">
        <v>25</v>
      </c>
      <c r="L160">
        <v>1</v>
      </c>
      <c r="M160">
        <v>3000</v>
      </c>
      <c r="N160">
        <v>82.06</v>
      </c>
      <c r="O160">
        <v>296.14999999999998</v>
      </c>
      <c r="P160">
        <f t="shared" si="11"/>
        <v>1.0287189950781558E-3</v>
      </c>
      <c r="Q160">
        <v>12</v>
      </c>
      <c r="R160">
        <f t="shared" si="12"/>
        <v>4435.4297529278874</v>
      </c>
      <c r="S160">
        <f t="shared" si="13"/>
        <v>24.64127640515493</v>
      </c>
      <c r="T160">
        <f t="shared" si="14"/>
        <v>1774.171901171155</v>
      </c>
    </row>
    <row r="161" spans="1:20" x14ac:dyDescent="0.25">
      <c r="A161" s="1">
        <v>52</v>
      </c>
      <c r="B161" t="s">
        <v>6</v>
      </c>
      <c r="C161" t="s">
        <v>9</v>
      </c>
      <c r="D161" t="s">
        <v>16</v>
      </c>
      <c r="E161">
        <v>499.31666666666666</v>
      </c>
      <c r="F161">
        <v>180</v>
      </c>
      <c r="G161">
        <v>482.69751794503355</v>
      </c>
      <c r="H161">
        <v>482.69751794506487</v>
      </c>
      <c r="I161">
        <f t="shared" si="10"/>
        <v>1448092.5538351946</v>
      </c>
      <c r="J161">
        <v>0.99997685552469551</v>
      </c>
      <c r="K161">
        <v>25</v>
      </c>
      <c r="L161">
        <v>1</v>
      </c>
      <c r="M161">
        <v>3000</v>
      </c>
      <c r="N161">
        <v>82.06</v>
      </c>
      <c r="O161">
        <v>296.14999999999998</v>
      </c>
      <c r="P161">
        <f t="shared" si="11"/>
        <v>1.0287189950781558E-3</v>
      </c>
      <c r="Q161">
        <v>12</v>
      </c>
      <c r="R161">
        <f t="shared" si="12"/>
        <v>17876.16380113802</v>
      </c>
      <c r="S161">
        <f t="shared" si="13"/>
        <v>99.312021117433446</v>
      </c>
      <c r="T161">
        <f t="shared" si="14"/>
        <v>7150.4655204552082</v>
      </c>
    </row>
    <row r="162" spans="1:20" x14ac:dyDescent="0.25">
      <c r="A162" s="1">
        <v>53</v>
      </c>
      <c r="B162" t="s">
        <v>7</v>
      </c>
      <c r="C162" t="s">
        <v>8</v>
      </c>
      <c r="D162" t="s">
        <v>16</v>
      </c>
      <c r="E162">
        <v>503.35</v>
      </c>
      <c r="F162">
        <v>180</v>
      </c>
      <c r="G162">
        <v>105.16020348801402</v>
      </c>
      <c r="H162">
        <v>105.16020348802094</v>
      </c>
      <c r="I162">
        <f t="shared" si="10"/>
        <v>315480.61046406283</v>
      </c>
      <c r="J162">
        <v>0.99645714454941958</v>
      </c>
      <c r="K162">
        <v>25</v>
      </c>
      <c r="L162">
        <v>1</v>
      </c>
      <c r="M162">
        <v>3000</v>
      </c>
      <c r="N162">
        <v>82.06</v>
      </c>
      <c r="O162">
        <v>296.14999999999998</v>
      </c>
      <c r="P162">
        <f t="shared" si="11"/>
        <v>1.0287189950781558E-3</v>
      </c>
      <c r="Q162">
        <v>12</v>
      </c>
      <c r="R162">
        <f t="shared" si="12"/>
        <v>3894.4907587588059</v>
      </c>
      <c r="S162">
        <f t="shared" si="13"/>
        <v>21.636059770882255</v>
      </c>
      <c r="T162">
        <f t="shared" si="14"/>
        <v>1557.7963035035223</v>
      </c>
    </row>
    <row r="163" spans="1:20" x14ac:dyDescent="0.25">
      <c r="A163" s="1">
        <v>54</v>
      </c>
      <c r="B163" t="s">
        <v>7</v>
      </c>
      <c r="C163" t="s">
        <v>8</v>
      </c>
      <c r="D163" t="s">
        <v>16</v>
      </c>
      <c r="E163">
        <v>503.35</v>
      </c>
      <c r="F163">
        <v>180</v>
      </c>
      <c r="G163">
        <v>340.22922002292296</v>
      </c>
      <c r="H163">
        <v>340.22922002294541</v>
      </c>
      <c r="I163">
        <f t="shared" si="10"/>
        <v>1020687.6600688362</v>
      </c>
      <c r="J163">
        <v>0.99935663632361349</v>
      </c>
      <c r="K163">
        <v>25</v>
      </c>
      <c r="L163">
        <v>1</v>
      </c>
      <c r="M163">
        <v>3000</v>
      </c>
      <c r="N163">
        <v>82.06</v>
      </c>
      <c r="O163">
        <v>296.14999999999998</v>
      </c>
      <c r="P163">
        <f t="shared" si="11"/>
        <v>1.0287189950781558E-3</v>
      </c>
      <c r="Q163">
        <v>12</v>
      </c>
      <c r="R163">
        <f t="shared" si="12"/>
        <v>12600.009407456249</v>
      </c>
      <c r="S163">
        <f t="shared" si="13"/>
        <v>70.000052263645827</v>
      </c>
      <c r="T163">
        <f t="shared" si="14"/>
        <v>5040.0037629824992</v>
      </c>
    </row>
    <row r="164" spans="1:20" x14ac:dyDescent="0.25">
      <c r="A164" s="1">
        <v>55</v>
      </c>
      <c r="B164" t="s">
        <v>7</v>
      </c>
      <c r="C164" t="s">
        <v>8</v>
      </c>
      <c r="D164" t="s">
        <v>16</v>
      </c>
      <c r="E164">
        <v>503.36666666666667</v>
      </c>
      <c r="F164">
        <v>180</v>
      </c>
      <c r="G164">
        <v>291.63513988734604</v>
      </c>
      <c r="H164">
        <v>291.63513988737918</v>
      </c>
      <c r="I164">
        <f t="shared" si="10"/>
        <v>874905.41966213752</v>
      </c>
      <c r="J164">
        <v>0.99987902710012488</v>
      </c>
      <c r="K164">
        <v>25</v>
      </c>
      <c r="L164">
        <v>1</v>
      </c>
      <c r="M164">
        <v>3000</v>
      </c>
      <c r="N164">
        <v>82.06</v>
      </c>
      <c r="O164">
        <v>296.14999999999998</v>
      </c>
      <c r="P164">
        <f t="shared" si="11"/>
        <v>1.0287189950781558E-3</v>
      </c>
      <c r="Q164">
        <v>12</v>
      </c>
      <c r="R164">
        <f t="shared" si="12"/>
        <v>10800.381889239196</v>
      </c>
      <c r="S164">
        <f t="shared" si="13"/>
        <v>60.002121606884423</v>
      </c>
      <c r="T164">
        <f t="shared" si="14"/>
        <v>4320.152755695678</v>
      </c>
    </row>
    <row r="165" spans="1:20" x14ac:dyDescent="0.25">
      <c r="A165" s="1">
        <v>56</v>
      </c>
      <c r="B165" t="s">
        <v>7</v>
      </c>
      <c r="C165" t="s">
        <v>8</v>
      </c>
      <c r="D165" t="s">
        <v>16</v>
      </c>
      <c r="E165">
        <v>503.36666666666667</v>
      </c>
      <c r="F165">
        <v>180</v>
      </c>
      <c r="G165">
        <v>238.00013110672404</v>
      </c>
      <c r="H165">
        <v>238.00013110675164</v>
      </c>
      <c r="I165">
        <f t="shared" si="10"/>
        <v>714000.39332025487</v>
      </c>
      <c r="J165">
        <v>0.99919089260061444</v>
      </c>
      <c r="K165">
        <v>25</v>
      </c>
      <c r="L165">
        <v>1</v>
      </c>
      <c r="M165">
        <v>3000</v>
      </c>
      <c r="N165">
        <v>82.06</v>
      </c>
      <c r="O165">
        <v>296.14999999999998</v>
      </c>
      <c r="P165">
        <f t="shared" si="11"/>
        <v>1.0287189950781558E-3</v>
      </c>
      <c r="Q165">
        <v>12</v>
      </c>
      <c r="R165">
        <f t="shared" si="12"/>
        <v>8814.0692052218474</v>
      </c>
      <c r="S165">
        <f t="shared" si="13"/>
        <v>48.967051140121377</v>
      </c>
      <c r="T165">
        <f t="shared" si="14"/>
        <v>3525.6276820887392</v>
      </c>
    </row>
    <row r="166" spans="1:20" x14ac:dyDescent="0.25">
      <c r="A166" s="1">
        <v>57</v>
      </c>
      <c r="B166" t="s">
        <v>7</v>
      </c>
      <c r="C166" t="s">
        <v>9</v>
      </c>
      <c r="D166" t="s">
        <v>16</v>
      </c>
      <c r="E166">
        <v>503.4</v>
      </c>
      <c r="F166">
        <v>180</v>
      </c>
      <c r="G166">
        <v>103.17238980016901</v>
      </c>
      <c r="H166">
        <v>103.17238980017635</v>
      </c>
      <c r="I166">
        <f t="shared" si="10"/>
        <v>309517.16940052906</v>
      </c>
      <c r="J166">
        <v>0.97457876969522983</v>
      </c>
      <c r="K166">
        <v>25</v>
      </c>
      <c r="L166">
        <v>1</v>
      </c>
      <c r="M166">
        <v>3000</v>
      </c>
      <c r="N166">
        <v>82.06</v>
      </c>
      <c r="O166">
        <v>296.14999999999998</v>
      </c>
      <c r="P166">
        <f t="shared" si="11"/>
        <v>1.0287189950781558E-3</v>
      </c>
      <c r="Q166">
        <v>12</v>
      </c>
      <c r="R166">
        <f t="shared" si="12"/>
        <v>3820.8742975817709</v>
      </c>
      <c r="S166">
        <f t="shared" si="13"/>
        <v>21.227079431009837</v>
      </c>
      <c r="T166">
        <f t="shared" si="14"/>
        <v>1528.3497190327082</v>
      </c>
    </row>
    <row r="167" spans="1:20" x14ac:dyDescent="0.25">
      <c r="A167" s="1">
        <v>58</v>
      </c>
      <c r="B167" t="s">
        <v>7</v>
      </c>
      <c r="C167" t="s">
        <v>9</v>
      </c>
      <c r="D167" t="s">
        <v>16</v>
      </c>
      <c r="E167">
        <v>503.4</v>
      </c>
      <c r="F167">
        <v>180</v>
      </c>
      <c r="G167">
        <v>504.64405540172856</v>
      </c>
      <c r="H167">
        <v>504.64405540176091</v>
      </c>
      <c r="I167">
        <f t="shared" si="10"/>
        <v>1513932.1662052828</v>
      </c>
      <c r="J167">
        <v>0.99886922835941505</v>
      </c>
      <c r="K167">
        <v>25</v>
      </c>
      <c r="L167">
        <v>1</v>
      </c>
      <c r="M167">
        <v>3000</v>
      </c>
      <c r="N167">
        <v>82.06</v>
      </c>
      <c r="O167">
        <v>296.14999999999998</v>
      </c>
      <c r="P167">
        <f t="shared" si="11"/>
        <v>1.0287189950781558E-3</v>
      </c>
      <c r="Q167">
        <v>12</v>
      </c>
      <c r="R167">
        <f t="shared" si="12"/>
        <v>18688.92931962233</v>
      </c>
      <c r="S167">
        <f t="shared" si="13"/>
        <v>103.82738510901294</v>
      </c>
      <c r="T167">
        <f t="shared" si="14"/>
        <v>7475.5717278489319</v>
      </c>
    </row>
    <row r="168" spans="1:20" x14ac:dyDescent="0.25">
      <c r="A168" s="1">
        <v>59</v>
      </c>
      <c r="B168" t="s">
        <v>7</v>
      </c>
      <c r="C168" t="s">
        <v>9</v>
      </c>
      <c r="D168" t="s">
        <v>16</v>
      </c>
      <c r="E168">
        <v>503.41666666666669</v>
      </c>
      <c r="F168">
        <v>180</v>
      </c>
      <c r="G168">
        <v>250.92622945912905</v>
      </c>
      <c r="H168">
        <v>250.92622945915866</v>
      </c>
      <c r="I168">
        <f t="shared" si="10"/>
        <v>752778.68837747595</v>
      </c>
      <c r="J168">
        <v>0.99764530395040574</v>
      </c>
      <c r="K168">
        <v>25</v>
      </c>
      <c r="L168">
        <v>1</v>
      </c>
      <c r="M168">
        <v>3000</v>
      </c>
      <c r="N168">
        <v>82.06</v>
      </c>
      <c r="O168">
        <v>296.14999999999998</v>
      </c>
      <c r="P168">
        <f t="shared" si="11"/>
        <v>1.0287189950781558E-3</v>
      </c>
      <c r="Q168">
        <v>12</v>
      </c>
      <c r="R168">
        <f t="shared" si="12"/>
        <v>9292.7728298871516</v>
      </c>
      <c r="S168">
        <f t="shared" si="13"/>
        <v>51.62651572159529</v>
      </c>
      <c r="T168">
        <f t="shared" si="14"/>
        <v>3717.1091319548609</v>
      </c>
    </row>
    <row r="169" spans="1:20" x14ac:dyDescent="0.25">
      <c r="A169" s="1">
        <v>60</v>
      </c>
      <c r="B169" t="s">
        <v>7</v>
      </c>
      <c r="C169" t="s">
        <v>9</v>
      </c>
      <c r="D169" t="s">
        <v>16</v>
      </c>
      <c r="E169">
        <v>503.41666666666669</v>
      </c>
      <c r="F169">
        <v>180</v>
      </c>
      <c r="G169">
        <v>187.60888264097503</v>
      </c>
      <c r="H169">
        <v>187.608882640996</v>
      </c>
      <c r="I169">
        <f t="shared" si="10"/>
        <v>562826.64792298805</v>
      </c>
      <c r="J169">
        <v>0.99871638264660811</v>
      </c>
      <c r="K169">
        <v>25</v>
      </c>
      <c r="L169">
        <v>1</v>
      </c>
      <c r="M169">
        <v>3000</v>
      </c>
      <c r="N169">
        <v>82.06</v>
      </c>
      <c r="O169">
        <v>296.14999999999998</v>
      </c>
      <c r="P169">
        <f t="shared" si="11"/>
        <v>1.0287189950781558E-3</v>
      </c>
      <c r="Q169">
        <v>12</v>
      </c>
      <c r="R169">
        <f t="shared" si="12"/>
        <v>6947.8855638545192</v>
      </c>
      <c r="S169">
        <f t="shared" si="13"/>
        <v>38.599364243636217</v>
      </c>
      <c r="T169">
        <f t="shared" si="14"/>
        <v>2779.1542255418076</v>
      </c>
    </row>
    <row r="170" spans="1:20" x14ac:dyDescent="0.25">
      <c r="A170" s="1">
        <v>37</v>
      </c>
      <c r="B170" t="s">
        <v>36</v>
      </c>
      <c r="C170" t="s">
        <v>8</v>
      </c>
      <c r="D170" t="s">
        <v>17</v>
      </c>
      <c r="E170">
        <v>572.33333333333337</v>
      </c>
      <c r="F170">
        <v>180</v>
      </c>
      <c r="G170">
        <v>378.19030180913308</v>
      </c>
      <c r="H170">
        <v>378.19030180913893</v>
      </c>
      <c r="I170">
        <f t="shared" si="10"/>
        <v>1134570.9054274168</v>
      </c>
      <c r="J170">
        <v>0.99999996953633274</v>
      </c>
      <c r="K170">
        <v>25</v>
      </c>
      <c r="L170">
        <v>1</v>
      </c>
      <c r="M170">
        <v>3000</v>
      </c>
      <c r="N170">
        <v>82.06</v>
      </c>
      <c r="O170">
        <v>296.14999999999998</v>
      </c>
      <c r="P170">
        <f t="shared" si="11"/>
        <v>1.0287189950781558E-3</v>
      </c>
      <c r="Q170">
        <v>12</v>
      </c>
      <c r="R170">
        <f t="shared" si="12"/>
        <v>14005.855700114467</v>
      </c>
      <c r="S170">
        <f t="shared" si="13"/>
        <v>77.810309445080378</v>
      </c>
      <c r="T170">
        <f t="shared" si="14"/>
        <v>5602.3422800457874</v>
      </c>
    </row>
    <row r="171" spans="1:20" x14ac:dyDescent="0.25">
      <c r="A171" s="1">
        <v>38</v>
      </c>
      <c r="B171" t="s">
        <v>36</v>
      </c>
      <c r="C171" t="s">
        <v>8</v>
      </c>
      <c r="D171" t="s">
        <v>17</v>
      </c>
      <c r="E171">
        <v>572.33333333333337</v>
      </c>
      <c r="F171">
        <v>180</v>
      </c>
      <c r="G171">
        <v>202.51825603523599</v>
      </c>
      <c r="H171">
        <v>202.51825603523923</v>
      </c>
      <c r="I171">
        <f t="shared" si="10"/>
        <v>607554.76810571773</v>
      </c>
      <c r="J171">
        <v>0.99996371966062036</v>
      </c>
      <c r="K171">
        <v>25</v>
      </c>
      <c r="L171">
        <v>1</v>
      </c>
      <c r="M171">
        <v>3000</v>
      </c>
      <c r="N171">
        <v>82.06</v>
      </c>
      <c r="O171">
        <v>296.14999999999998</v>
      </c>
      <c r="P171">
        <f t="shared" si="11"/>
        <v>1.0287189950781558E-3</v>
      </c>
      <c r="Q171">
        <v>12</v>
      </c>
      <c r="R171">
        <f t="shared" si="12"/>
        <v>7500.0375660078707</v>
      </c>
      <c r="S171">
        <f t="shared" si="13"/>
        <v>41.666875366710393</v>
      </c>
      <c r="T171">
        <f t="shared" si="14"/>
        <v>3000.0150264031481</v>
      </c>
    </row>
    <row r="172" spans="1:20" x14ac:dyDescent="0.25">
      <c r="A172" s="1">
        <v>39</v>
      </c>
      <c r="B172" t="s">
        <v>36</v>
      </c>
      <c r="C172" t="s">
        <v>8</v>
      </c>
      <c r="D172" t="s">
        <v>17</v>
      </c>
      <c r="E172">
        <v>572.35</v>
      </c>
      <c r="F172">
        <v>180</v>
      </c>
      <c r="G172">
        <v>107.01695306714498</v>
      </c>
      <c r="H172">
        <v>107.01695306714664</v>
      </c>
      <c r="I172">
        <f t="shared" si="10"/>
        <v>321050.85920143995</v>
      </c>
      <c r="J172">
        <v>0.99421273993900539</v>
      </c>
      <c r="K172">
        <v>25</v>
      </c>
      <c r="L172">
        <v>1</v>
      </c>
      <c r="M172">
        <v>3000</v>
      </c>
      <c r="N172">
        <v>82.06</v>
      </c>
      <c r="O172">
        <v>296.14999999999998</v>
      </c>
      <c r="P172">
        <f t="shared" si="11"/>
        <v>1.0287189950781558E-3</v>
      </c>
      <c r="Q172">
        <v>12</v>
      </c>
      <c r="R172">
        <f t="shared" si="12"/>
        <v>3963.2534069602057</v>
      </c>
      <c r="S172">
        <f t="shared" si="13"/>
        <v>22.018074483112255</v>
      </c>
      <c r="T172">
        <f t="shared" si="14"/>
        <v>1585.3013627840824</v>
      </c>
    </row>
    <row r="173" spans="1:20" x14ac:dyDescent="0.25">
      <c r="A173" s="1">
        <v>40</v>
      </c>
      <c r="B173" t="s">
        <v>36</v>
      </c>
      <c r="C173" t="s">
        <v>8</v>
      </c>
      <c r="D173" t="s">
        <v>17</v>
      </c>
      <c r="E173">
        <v>572.35</v>
      </c>
      <c r="F173">
        <v>180</v>
      </c>
      <c r="G173">
        <v>1104.568098662075</v>
      </c>
      <c r="H173">
        <v>1104.5680986620926</v>
      </c>
      <c r="I173">
        <f t="shared" si="10"/>
        <v>3313704.2959862775</v>
      </c>
      <c r="J173">
        <v>0.99994867028242784</v>
      </c>
      <c r="K173">
        <v>25</v>
      </c>
      <c r="L173">
        <v>1</v>
      </c>
      <c r="M173">
        <v>3000</v>
      </c>
      <c r="N173">
        <v>82.06</v>
      </c>
      <c r="O173">
        <v>296.14999999999998</v>
      </c>
      <c r="P173">
        <f t="shared" si="11"/>
        <v>1.0287189950781558E-3</v>
      </c>
      <c r="Q173">
        <v>12</v>
      </c>
      <c r="R173">
        <f t="shared" si="12"/>
        <v>40906.446640238057</v>
      </c>
      <c r="S173">
        <f t="shared" si="13"/>
        <v>227.25803689021143</v>
      </c>
      <c r="T173">
        <f t="shared" si="14"/>
        <v>16362.578656095222</v>
      </c>
    </row>
    <row r="174" spans="1:20" x14ac:dyDescent="0.25">
      <c r="A174" s="1">
        <v>41</v>
      </c>
      <c r="B174" t="s">
        <v>36</v>
      </c>
      <c r="C174" t="s">
        <v>9</v>
      </c>
      <c r="D174" t="s">
        <v>17</v>
      </c>
      <c r="E174">
        <v>572.36666666666667</v>
      </c>
      <c r="F174">
        <v>180</v>
      </c>
      <c r="G174">
        <v>190.86115241893452</v>
      </c>
      <c r="H174">
        <v>190.86115241895598</v>
      </c>
      <c r="I174">
        <f t="shared" si="10"/>
        <v>572583.4572568679</v>
      </c>
      <c r="J174">
        <v>0.99965582128288955</v>
      </c>
      <c r="K174">
        <v>25</v>
      </c>
      <c r="L174">
        <v>1</v>
      </c>
      <c r="M174">
        <v>3000</v>
      </c>
      <c r="N174">
        <v>82.06</v>
      </c>
      <c r="O174">
        <v>296.14999999999998</v>
      </c>
      <c r="P174">
        <f t="shared" si="11"/>
        <v>1.0287189950781558E-3</v>
      </c>
      <c r="Q174">
        <v>12</v>
      </c>
      <c r="R174">
        <f t="shared" si="12"/>
        <v>7068.3297449719357</v>
      </c>
      <c r="S174">
        <f t="shared" si="13"/>
        <v>39.268498583177418</v>
      </c>
      <c r="T174">
        <f t="shared" si="14"/>
        <v>2827.331897988774</v>
      </c>
    </row>
    <row r="175" spans="1:20" x14ac:dyDescent="0.25">
      <c r="A175" s="1">
        <v>42</v>
      </c>
      <c r="B175" t="s">
        <v>36</v>
      </c>
      <c r="C175" t="s">
        <v>9</v>
      </c>
      <c r="D175" t="s">
        <v>17</v>
      </c>
      <c r="E175">
        <v>572.36666666666667</v>
      </c>
      <c r="F175">
        <v>180</v>
      </c>
      <c r="G175">
        <v>236.104829533464</v>
      </c>
      <c r="H175">
        <v>236.10482953349091</v>
      </c>
      <c r="I175">
        <f t="shared" si="10"/>
        <v>708314.48860047269</v>
      </c>
      <c r="J175">
        <v>0.99990954841752488</v>
      </c>
      <c r="K175">
        <v>25</v>
      </c>
      <c r="L175">
        <v>1</v>
      </c>
      <c r="M175">
        <v>3000</v>
      </c>
      <c r="N175">
        <v>82.06</v>
      </c>
      <c r="O175">
        <v>296.14999999999998</v>
      </c>
      <c r="P175">
        <f t="shared" si="11"/>
        <v>1.0287189950781558E-3</v>
      </c>
      <c r="Q175">
        <v>12</v>
      </c>
      <c r="R175">
        <f t="shared" si="12"/>
        <v>8743.878826948514</v>
      </c>
      <c r="S175">
        <f t="shared" si="13"/>
        <v>48.577104594158413</v>
      </c>
      <c r="T175">
        <f t="shared" si="14"/>
        <v>3497.5515307794058</v>
      </c>
    </row>
    <row r="176" spans="1:20" x14ac:dyDescent="0.25">
      <c r="A176" s="1">
        <v>43</v>
      </c>
      <c r="B176" t="s">
        <v>36</v>
      </c>
      <c r="C176" t="s">
        <v>9</v>
      </c>
      <c r="D176" t="s">
        <v>17</v>
      </c>
      <c r="E176">
        <v>572.38333333333333</v>
      </c>
      <c r="F176">
        <v>180</v>
      </c>
      <c r="G176">
        <v>91.37156941940998</v>
      </c>
      <c r="H176">
        <v>91.371569419421235</v>
      </c>
      <c r="I176">
        <f t="shared" si="10"/>
        <v>274114.70825826371</v>
      </c>
      <c r="J176">
        <v>0.97798077400673589</v>
      </c>
      <c r="K176">
        <v>25</v>
      </c>
      <c r="L176">
        <v>1</v>
      </c>
      <c r="M176">
        <v>3000</v>
      </c>
      <c r="N176">
        <v>82.06</v>
      </c>
      <c r="O176">
        <v>296.14999999999998</v>
      </c>
      <c r="P176">
        <f t="shared" si="11"/>
        <v>1.0287189950781558E-3</v>
      </c>
      <c r="Q176">
        <v>12</v>
      </c>
      <c r="R176">
        <f t="shared" si="12"/>
        <v>3383.8440865869948</v>
      </c>
      <c r="S176">
        <f t="shared" si="13"/>
        <v>18.799133814372194</v>
      </c>
      <c r="T176">
        <f t="shared" si="14"/>
        <v>1353.537634634798</v>
      </c>
    </row>
    <row r="177" spans="1:20" x14ac:dyDescent="0.25">
      <c r="A177" s="1">
        <v>44</v>
      </c>
      <c r="B177" t="s">
        <v>36</v>
      </c>
      <c r="C177" t="s">
        <v>9</v>
      </c>
      <c r="D177" t="s">
        <v>17</v>
      </c>
      <c r="E177">
        <v>572.38333333333333</v>
      </c>
      <c r="F177">
        <v>180</v>
      </c>
      <c r="G177">
        <v>232.68967421714802</v>
      </c>
      <c r="H177">
        <v>232.68967421717574</v>
      </c>
      <c r="I177">
        <f t="shared" si="10"/>
        <v>698069.02265152719</v>
      </c>
      <c r="J177">
        <v>0.99472233112142827</v>
      </c>
      <c r="K177">
        <v>25</v>
      </c>
      <c r="L177">
        <v>1</v>
      </c>
      <c r="M177">
        <v>3000</v>
      </c>
      <c r="N177">
        <v>82.06</v>
      </c>
      <c r="O177">
        <v>296.14999999999998</v>
      </c>
      <c r="P177">
        <f t="shared" si="11"/>
        <v>1.0287189950781558E-3</v>
      </c>
      <c r="Q177">
        <v>12</v>
      </c>
      <c r="R177">
        <f t="shared" si="12"/>
        <v>8617.4023617272323</v>
      </c>
      <c r="S177">
        <f t="shared" si="13"/>
        <v>47.874457565151289</v>
      </c>
      <c r="T177">
        <f t="shared" si="14"/>
        <v>3446.9609446908926</v>
      </c>
    </row>
    <row r="178" spans="1:20" x14ac:dyDescent="0.25">
      <c r="A178" s="1">
        <v>45</v>
      </c>
      <c r="B178" t="s">
        <v>6</v>
      </c>
      <c r="C178" t="s">
        <v>8</v>
      </c>
      <c r="D178" t="s">
        <v>17</v>
      </c>
      <c r="E178">
        <v>571.41666666666663</v>
      </c>
      <c r="F178">
        <v>180</v>
      </c>
      <c r="G178">
        <v>206.57502903933749</v>
      </c>
      <c r="H178">
        <v>206.57502903936123</v>
      </c>
      <c r="I178">
        <f t="shared" si="10"/>
        <v>619725.08711808373</v>
      </c>
      <c r="J178">
        <v>0.99988227788661743</v>
      </c>
      <c r="K178">
        <v>25</v>
      </c>
      <c r="L178">
        <v>1</v>
      </c>
      <c r="M178">
        <v>3000</v>
      </c>
      <c r="N178">
        <v>82.06</v>
      </c>
      <c r="O178">
        <v>296.14999999999998</v>
      </c>
      <c r="P178">
        <f t="shared" si="11"/>
        <v>1.0287189950781558E-3</v>
      </c>
      <c r="Q178">
        <v>12</v>
      </c>
      <c r="R178">
        <f t="shared" si="12"/>
        <v>7650.2756261380518</v>
      </c>
      <c r="S178">
        <f t="shared" si="13"/>
        <v>42.501531256322508</v>
      </c>
      <c r="T178">
        <f t="shared" si="14"/>
        <v>3060.1102504552205</v>
      </c>
    </row>
    <row r="179" spans="1:20" x14ac:dyDescent="0.25">
      <c r="A179" s="1">
        <v>46</v>
      </c>
      <c r="B179" t="s">
        <v>6</v>
      </c>
      <c r="C179" t="s">
        <v>8</v>
      </c>
      <c r="D179" t="s">
        <v>17</v>
      </c>
      <c r="E179">
        <v>571.41666666666663</v>
      </c>
      <c r="F179">
        <v>180</v>
      </c>
      <c r="G179">
        <v>125.88079239674647</v>
      </c>
      <c r="H179">
        <v>125.88079239676149</v>
      </c>
      <c r="I179">
        <f t="shared" si="10"/>
        <v>377642.37719028449</v>
      </c>
      <c r="J179">
        <v>0.9928991825407969</v>
      </c>
      <c r="K179">
        <v>25</v>
      </c>
      <c r="L179">
        <v>1</v>
      </c>
      <c r="M179">
        <v>3000</v>
      </c>
      <c r="N179">
        <v>82.06</v>
      </c>
      <c r="O179">
        <v>296.14999999999998</v>
      </c>
      <c r="P179">
        <f t="shared" si="11"/>
        <v>1.0287189950781558E-3</v>
      </c>
      <c r="Q179">
        <v>12</v>
      </c>
      <c r="R179">
        <f t="shared" si="12"/>
        <v>4661.8546411453835</v>
      </c>
      <c r="S179">
        <f t="shared" si="13"/>
        <v>25.899192450807686</v>
      </c>
      <c r="T179">
        <f t="shared" si="14"/>
        <v>1864.7418564581533</v>
      </c>
    </row>
    <row r="180" spans="1:20" x14ac:dyDescent="0.25">
      <c r="A180" s="1">
        <v>47</v>
      </c>
      <c r="B180" t="s">
        <v>6</v>
      </c>
      <c r="C180" t="s">
        <v>8</v>
      </c>
      <c r="D180" t="s">
        <v>17</v>
      </c>
      <c r="E180">
        <v>571.43333333333328</v>
      </c>
      <c r="F180">
        <v>180</v>
      </c>
      <c r="G180">
        <v>625.02580949289302</v>
      </c>
      <c r="H180">
        <v>625.02580949302614</v>
      </c>
      <c r="I180">
        <f t="shared" si="10"/>
        <v>1875077.4284790785</v>
      </c>
      <c r="J180">
        <v>0.99998434531058944</v>
      </c>
      <c r="K180">
        <v>25</v>
      </c>
      <c r="L180">
        <v>1</v>
      </c>
      <c r="M180">
        <v>3000</v>
      </c>
      <c r="N180">
        <v>82.06</v>
      </c>
      <c r="O180">
        <v>296.14999999999998</v>
      </c>
      <c r="P180">
        <f t="shared" si="11"/>
        <v>1.0287189950781558E-3</v>
      </c>
      <c r="Q180">
        <v>12</v>
      </c>
      <c r="R180">
        <f t="shared" si="12"/>
        <v>23147.133215024762</v>
      </c>
      <c r="S180">
        <f t="shared" si="13"/>
        <v>128.59518452791534</v>
      </c>
      <c r="T180">
        <f t="shared" si="14"/>
        <v>9258.853286009904</v>
      </c>
    </row>
    <row r="181" spans="1:20" x14ac:dyDescent="0.25">
      <c r="A181" s="1">
        <v>48</v>
      </c>
      <c r="B181" t="s">
        <v>6</v>
      </c>
      <c r="C181" t="s">
        <v>8</v>
      </c>
      <c r="D181" t="s">
        <v>17</v>
      </c>
      <c r="E181">
        <v>571.43333333333328</v>
      </c>
      <c r="F181">
        <v>180</v>
      </c>
      <c r="G181">
        <v>191.140892387355</v>
      </c>
      <c r="H181">
        <v>191.14089238739621</v>
      </c>
      <c r="I181">
        <f t="shared" si="10"/>
        <v>573422.67716218857</v>
      </c>
      <c r="J181">
        <v>0.99915511980531069</v>
      </c>
      <c r="K181">
        <v>25</v>
      </c>
      <c r="L181">
        <v>1</v>
      </c>
      <c r="M181">
        <v>3000</v>
      </c>
      <c r="N181">
        <v>82.06</v>
      </c>
      <c r="O181">
        <v>296.14999999999998</v>
      </c>
      <c r="P181">
        <f t="shared" si="11"/>
        <v>1.0287189950781558E-3</v>
      </c>
      <c r="Q181">
        <v>12</v>
      </c>
      <c r="R181">
        <f t="shared" si="12"/>
        <v>7078.689602463749</v>
      </c>
      <c r="S181">
        <f t="shared" si="13"/>
        <v>39.326053347020824</v>
      </c>
      <c r="T181">
        <f t="shared" si="14"/>
        <v>2831.4758409854994</v>
      </c>
    </row>
    <row r="182" spans="1:20" x14ac:dyDescent="0.25">
      <c r="A182" s="1">
        <v>49</v>
      </c>
      <c r="B182" t="s">
        <v>6</v>
      </c>
      <c r="C182" t="s">
        <v>9</v>
      </c>
      <c r="D182" t="s">
        <v>17</v>
      </c>
      <c r="E182">
        <v>571.4666666666667</v>
      </c>
      <c r="F182">
        <v>180</v>
      </c>
      <c r="G182">
        <v>73.814325261583463</v>
      </c>
      <c r="H182">
        <v>73.814325261592117</v>
      </c>
      <c r="I182">
        <f t="shared" si="10"/>
        <v>221442.97578477635</v>
      </c>
      <c r="J182">
        <v>0.9971121735353411</v>
      </c>
      <c r="K182">
        <v>25</v>
      </c>
      <c r="L182">
        <v>1</v>
      </c>
      <c r="M182">
        <v>3000</v>
      </c>
      <c r="N182">
        <v>82.06</v>
      </c>
      <c r="O182">
        <v>296.14999999999998</v>
      </c>
      <c r="P182">
        <f t="shared" si="11"/>
        <v>1.0287189950781558E-3</v>
      </c>
      <c r="Q182">
        <v>12</v>
      </c>
      <c r="R182">
        <f t="shared" si="12"/>
        <v>2733.6311461971782</v>
      </c>
      <c r="S182">
        <f t="shared" si="13"/>
        <v>15.186839701095435</v>
      </c>
      <c r="T182">
        <f t="shared" si="14"/>
        <v>1093.4524584788712</v>
      </c>
    </row>
    <row r="183" spans="1:20" x14ac:dyDescent="0.25">
      <c r="A183" s="1">
        <v>50</v>
      </c>
      <c r="B183" t="s">
        <v>6</v>
      </c>
      <c r="C183" t="s">
        <v>9</v>
      </c>
      <c r="D183" t="s">
        <v>17</v>
      </c>
      <c r="E183">
        <v>571.4666666666667</v>
      </c>
      <c r="F183">
        <v>180</v>
      </c>
      <c r="G183">
        <v>94.630134930628003</v>
      </c>
      <c r="H183">
        <v>94.630134930639244</v>
      </c>
      <c r="I183">
        <f t="shared" si="10"/>
        <v>283890.40479191771</v>
      </c>
      <c r="J183">
        <v>0.99450385515480599</v>
      </c>
      <c r="K183">
        <v>25</v>
      </c>
      <c r="L183">
        <v>1</v>
      </c>
      <c r="M183">
        <v>3000</v>
      </c>
      <c r="N183">
        <v>82.06</v>
      </c>
      <c r="O183">
        <v>296.14999999999998</v>
      </c>
      <c r="P183">
        <f t="shared" si="11"/>
        <v>1.0287189950781558E-3</v>
      </c>
      <c r="Q183">
        <v>12</v>
      </c>
      <c r="R183">
        <f t="shared" si="12"/>
        <v>3504.5214231584696</v>
      </c>
      <c r="S183">
        <f t="shared" si="13"/>
        <v>19.469563461991498</v>
      </c>
      <c r="T183">
        <f t="shared" si="14"/>
        <v>1401.8085692633879</v>
      </c>
    </row>
    <row r="184" spans="1:20" x14ac:dyDescent="0.25">
      <c r="A184" s="1">
        <v>51</v>
      </c>
      <c r="B184" t="s">
        <v>6</v>
      </c>
      <c r="C184" t="s">
        <v>9</v>
      </c>
      <c r="D184" t="s">
        <v>17</v>
      </c>
      <c r="E184">
        <v>571.48333333333335</v>
      </c>
      <c r="F184">
        <v>180</v>
      </c>
      <c r="G184">
        <v>148.97938947616052</v>
      </c>
      <c r="H184">
        <v>148.97938947616277</v>
      </c>
      <c r="I184">
        <f t="shared" si="10"/>
        <v>446938.16842848831</v>
      </c>
      <c r="J184">
        <v>0.99955489541215947</v>
      </c>
      <c r="K184">
        <v>25</v>
      </c>
      <c r="L184">
        <v>1</v>
      </c>
      <c r="M184">
        <v>3000</v>
      </c>
      <c r="N184">
        <v>82.06</v>
      </c>
      <c r="O184">
        <v>296.14999999999998</v>
      </c>
      <c r="P184">
        <f t="shared" si="11"/>
        <v>1.0287189950781558E-3</v>
      </c>
      <c r="Q184">
        <v>12</v>
      </c>
      <c r="R184">
        <f t="shared" si="12"/>
        <v>5517.2854018539128</v>
      </c>
      <c r="S184">
        <f t="shared" si="13"/>
        <v>30.651585565855072</v>
      </c>
      <c r="T184">
        <f t="shared" si="14"/>
        <v>2206.914160741565</v>
      </c>
    </row>
    <row r="185" spans="1:20" x14ac:dyDescent="0.25">
      <c r="A185" s="1">
        <v>52</v>
      </c>
      <c r="B185" t="s">
        <v>6</v>
      </c>
      <c r="C185" t="s">
        <v>9</v>
      </c>
      <c r="D185" t="s">
        <v>17</v>
      </c>
      <c r="E185">
        <v>571.48333333333335</v>
      </c>
      <c r="F185">
        <v>180</v>
      </c>
      <c r="G185">
        <v>534.35793877807157</v>
      </c>
      <c r="H185">
        <v>534.35793877808032</v>
      </c>
      <c r="I185">
        <f t="shared" si="10"/>
        <v>1603073.8163342411</v>
      </c>
      <c r="J185">
        <v>0.9933358012346033</v>
      </c>
      <c r="K185">
        <v>25</v>
      </c>
      <c r="L185">
        <v>1</v>
      </c>
      <c r="M185">
        <v>3000</v>
      </c>
      <c r="N185">
        <v>82.06</v>
      </c>
      <c r="O185">
        <v>296.14999999999998</v>
      </c>
      <c r="P185">
        <f t="shared" si="11"/>
        <v>1.0287189950781558E-3</v>
      </c>
      <c r="Q185">
        <v>12</v>
      </c>
      <c r="R185">
        <f t="shared" si="12"/>
        <v>19789.349824505574</v>
      </c>
      <c r="S185">
        <f t="shared" si="13"/>
        <v>109.9408323583643</v>
      </c>
      <c r="T185">
        <f t="shared" si="14"/>
        <v>7915.7399298022301</v>
      </c>
    </row>
    <row r="186" spans="1:20" x14ac:dyDescent="0.25">
      <c r="A186" s="1">
        <v>53</v>
      </c>
      <c r="B186" t="s">
        <v>7</v>
      </c>
      <c r="C186" t="s">
        <v>8</v>
      </c>
      <c r="D186" t="s">
        <v>17</v>
      </c>
      <c r="E186">
        <v>575.51666666666665</v>
      </c>
      <c r="F186">
        <v>180</v>
      </c>
      <c r="G186">
        <v>71.157703467705517</v>
      </c>
      <c r="H186">
        <v>71.15770346771393</v>
      </c>
      <c r="I186">
        <f t="shared" si="10"/>
        <v>213473.11040314179</v>
      </c>
      <c r="J186">
        <v>0.99205115092188456</v>
      </c>
      <c r="K186">
        <v>25</v>
      </c>
      <c r="L186">
        <v>1</v>
      </c>
      <c r="M186">
        <v>3000</v>
      </c>
      <c r="N186">
        <v>82.06</v>
      </c>
      <c r="O186">
        <v>296.14999999999998</v>
      </c>
      <c r="P186">
        <f t="shared" si="11"/>
        <v>1.0287189950781558E-3</v>
      </c>
      <c r="Q186">
        <v>12</v>
      </c>
      <c r="R186">
        <f t="shared" si="12"/>
        <v>2635.246123321539</v>
      </c>
      <c r="S186">
        <f t="shared" si="13"/>
        <v>14.640256240675217</v>
      </c>
      <c r="T186">
        <f t="shared" si="14"/>
        <v>1054.0984493286157</v>
      </c>
    </row>
    <row r="187" spans="1:20" x14ac:dyDescent="0.25">
      <c r="A187" s="1">
        <v>54</v>
      </c>
      <c r="B187" t="s">
        <v>7</v>
      </c>
      <c r="C187" t="s">
        <v>8</v>
      </c>
      <c r="D187" t="s">
        <v>17</v>
      </c>
      <c r="E187">
        <v>575.51666666666665</v>
      </c>
      <c r="F187">
        <v>180</v>
      </c>
      <c r="G187">
        <v>505.63633140434195</v>
      </c>
      <c r="H187">
        <v>505.63633140440049</v>
      </c>
      <c r="I187">
        <f t="shared" si="10"/>
        <v>1516908.9942132016</v>
      </c>
      <c r="J187">
        <v>0.99970015451181171</v>
      </c>
      <c r="K187">
        <v>25</v>
      </c>
      <c r="L187">
        <v>1</v>
      </c>
      <c r="M187">
        <v>3000</v>
      </c>
      <c r="N187">
        <v>82.06</v>
      </c>
      <c r="O187">
        <v>296.14999999999998</v>
      </c>
      <c r="P187">
        <f t="shared" si="11"/>
        <v>1.0287189950781558E-3</v>
      </c>
      <c r="Q187">
        <v>12</v>
      </c>
      <c r="R187">
        <f t="shared" si="12"/>
        <v>18725.67715382425</v>
      </c>
      <c r="S187">
        <f t="shared" si="13"/>
        <v>104.03153974346806</v>
      </c>
      <c r="T187">
        <f t="shared" si="14"/>
        <v>7490.2708615297006</v>
      </c>
    </row>
    <row r="188" spans="1:20" x14ac:dyDescent="0.25">
      <c r="A188" s="1">
        <v>55</v>
      </c>
      <c r="B188" t="s">
        <v>7</v>
      </c>
      <c r="C188" t="s">
        <v>8</v>
      </c>
      <c r="D188" t="s">
        <v>17</v>
      </c>
      <c r="E188">
        <v>575.5333333333333</v>
      </c>
      <c r="F188">
        <v>180</v>
      </c>
      <c r="G188">
        <v>210.21222554056004</v>
      </c>
      <c r="H188">
        <v>210.21222554058477</v>
      </c>
      <c r="I188">
        <f t="shared" si="10"/>
        <v>630636.6766217543</v>
      </c>
      <c r="J188">
        <v>0.99696685590728806</v>
      </c>
      <c r="K188">
        <v>25</v>
      </c>
      <c r="L188">
        <v>1</v>
      </c>
      <c r="M188">
        <v>3000</v>
      </c>
      <c r="N188">
        <v>82.06</v>
      </c>
      <c r="O188">
        <v>296.14999999999998</v>
      </c>
      <c r="P188">
        <f t="shared" si="11"/>
        <v>1.0287189950781558E-3</v>
      </c>
      <c r="Q188">
        <v>12</v>
      </c>
      <c r="R188">
        <f t="shared" si="12"/>
        <v>7784.9751388051081</v>
      </c>
      <c r="S188">
        <f t="shared" si="13"/>
        <v>43.249861882250599</v>
      </c>
      <c r="T188">
        <f t="shared" si="14"/>
        <v>3113.9900555220429</v>
      </c>
    </row>
    <row r="189" spans="1:20" x14ac:dyDescent="0.25">
      <c r="A189" s="1">
        <v>56</v>
      </c>
      <c r="B189" t="s">
        <v>7</v>
      </c>
      <c r="C189" t="s">
        <v>8</v>
      </c>
      <c r="D189" t="s">
        <v>17</v>
      </c>
      <c r="E189">
        <v>575.5333333333333</v>
      </c>
      <c r="F189">
        <v>180</v>
      </c>
      <c r="G189">
        <v>200.59321913748948</v>
      </c>
      <c r="H189">
        <v>200.59321913751253</v>
      </c>
      <c r="I189">
        <f t="shared" si="10"/>
        <v>601779.65741253761</v>
      </c>
      <c r="J189">
        <v>0.99979260372347256</v>
      </c>
      <c r="K189">
        <v>25</v>
      </c>
      <c r="L189">
        <v>1</v>
      </c>
      <c r="M189">
        <v>3000</v>
      </c>
      <c r="N189">
        <v>82.06</v>
      </c>
      <c r="O189">
        <v>296.14999999999998</v>
      </c>
      <c r="P189">
        <f t="shared" si="11"/>
        <v>1.0287189950781558E-3</v>
      </c>
      <c r="Q189">
        <v>12</v>
      </c>
      <c r="R189">
        <f t="shared" si="12"/>
        <v>7428.7459731828303</v>
      </c>
      <c r="S189">
        <f t="shared" si="13"/>
        <v>41.270810962126838</v>
      </c>
      <c r="T189">
        <f t="shared" si="14"/>
        <v>2971.4983892731325</v>
      </c>
    </row>
    <row r="190" spans="1:20" x14ac:dyDescent="0.25">
      <c r="A190" s="1">
        <v>57</v>
      </c>
      <c r="B190" t="s">
        <v>7</v>
      </c>
      <c r="C190" t="s">
        <v>9</v>
      </c>
      <c r="D190" t="s">
        <v>17</v>
      </c>
      <c r="E190">
        <v>575.56666666666672</v>
      </c>
      <c r="F190">
        <v>180</v>
      </c>
      <c r="G190">
        <v>97.887622176410503</v>
      </c>
      <c r="H190">
        <v>97.887622176422497</v>
      </c>
      <c r="I190">
        <f t="shared" si="10"/>
        <v>293662.86652926751</v>
      </c>
      <c r="J190">
        <v>0.98602203404379418</v>
      </c>
      <c r="K190">
        <v>25</v>
      </c>
      <c r="L190">
        <v>1</v>
      </c>
      <c r="M190">
        <v>3000</v>
      </c>
      <c r="N190">
        <v>82.06</v>
      </c>
      <c r="O190">
        <v>296.14999999999998</v>
      </c>
      <c r="P190">
        <f t="shared" si="11"/>
        <v>1.0287189950781558E-3</v>
      </c>
      <c r="Q190">
        <v>12</v>
      </c>
      <c r="R190">
        <f t="shared" si="12"/>
        <v>3625.158827373104</v>
      </c>
      <c r="S190">
        <f t="shared" si="13"/>
        <v>20.13977126318391</v>
      </c>
      <c r="T190">
        <f t="shared" si="14"/>
        <v>1450.0635309492416</v>
      </c>
    </row>
    <row r="191" spans="1:20" x14ac:dyDescent="0.25">
      <c r="A191" s="1">
        <v>58</v>
      </c>
      <c r="B191" t="s">
        <v>7</v>
      </c>
      <c r="C191" t="s">
        <v>9</v>
      </c>
      <c r="D191" t="s">
        <v>17</v>
      </c>
      <c r="E191">
        <v>575.56666666666672</v>
      </c>
      <c r="F191">
        <v>180</v>
      </c>
      <c r="G191">
        <v>336.27771339035695</v>
      </c>
      <c r="H191">
        <v>336.27771339039521</v>
      </c>
      <c r="I191">
        <f t="shared" si="10"/>
        <v>1008833.1401711856</v>
      </c>
      <c r="J191">
        <v>0.99999994306556872</v>
      </c>
      <c r="K191">
        <v>25</v>
      </c>
      <c r="L191">
        <v>1</v>
      </c>
      <c r="M191">
        <v>3000</v>
      </c>
      <c r="N191">
        <v>82.06</v>
      </c>
      <c r="O191">
        <v>296.14999999999998</v>
      </c>
      <c r="P191">
        <f t="shared" si="11"/>
        <v>1.0287189950781558E-3</v>
      </c>
      <c r="Q191">
        <v>12</v>
      </c>
      <c r="R191">
        <f t="shared" si="12"/>
        <v>12453.669769901308</v>
      </c>
      <c r="S191">
        <f t="shared" si="13"/>
        <v>69.187054277229493</v>
      </c>
      <c r="T191">
        <f t="shared" si="14"/>
        <v>4981.467907960523</v>
      </c>
    </row>
    <row r="192" spans="1:20" x14ac:dyDescent="0.25">
      <c r="A192" s="1">
        <v>59</v>
      </c>
      <c r="B192" t="s">
        <v>7</v>
      </c>
      <c r="C192" t="s">
        <v>9</v>
      </c>
      <c r="D192" t="s">
        <v>17</v>
      </c>
      <c r="E192">
        <v>575.58333333333337</v>
      </c>
      <c r="F192">
        <v>180</v>
      </c>
      <c r="G192">
        <v>202.34469094211352</v>
      </c>
      <c r="H192">
        <v>202.34469094213668</v>
      </c>
      <c r="I192">
        <f t="shared" si="10"/>
        <v>607034.07282641006</v>
      </c>
      <c r="J192">
        <v>0.99964602465918395</v>
      </c>
      <c r="K192">
        <v>25</v>
      </c>
      <c r="L192">
        <v>1</v>
      </c>
      <c r="M192">
        <v>3000</v>
      </c>
      <c r="N192">
        <v>82.06</v>
      </c>
      <c r="O192">
        <v>296.14999999999998</v>
      </c>
      <c r="P192">
        <f t="shared" si="11"/>
        <v>1.0287189950781558E-3</v>
      </c>
      <c r="Q192">
        <v>12</v>
      </c>
      <c r="R192">
        <f t="shared" si="12"/>
        <v>7493.6097765142149</v>
      </c>
      <c r="S192">
        <f t="shared" si="13"/>
        <v>41.631165425078969</v>
      </c>
      <c r="T192">
        <f t="shared" si="14"/>
        <v>2997.4439106056857</v>
      </c>
    </row>
    <row r="193" spans="1:20" x14ac:dyDescent="0.25">
      <c r="A193" s="1">
        <v>60</v>
      </c>
      <c r="B193" t="s">
        <v>7</v>
      </c>
      <c r="C193" t="s">
        <v>9</v>
      </c>
      <c r="D193" t="s">
        <v>17</v>
      </c>
      <c r="E193">
        <v>575.58333333333337</v>
      </c>
      <c r="F193">
        <v>180</v>
      </c>
      <c r="G193">
        <v>159.24554911317</v>
      </c>
      <c r="H193">
        <v>159.24554911318853</v>
      </c>
      <c r="I193">
        <f t="shared" si="10"/>
        <v>477736.64733956562</v>
      </c>
      <c r="J193">
        <v>0.998535281380319</v>
      </c>
      <c r="K193">
        <v>25</v>
      </c>
      <c r="L193">
        <v>1</v>
      </c>
      <c r="M193">
        <v>3000</v>
      </c>
      <c r="N193">
        <v>82.06</v>
      </c>
      <c r="O193">
        <v>296.14999999999998</v>
      </c>
      <c r="P193">
        <f t="shared" si="11"/>
        <v>1.0287189950781558E-3</v>
      </c>
      <c r="Q193">
        <v>12</v>
      </c>
      <c r="R193">
        <f t="shared" si="12"/>
        <v>5897.481165157983</v>
      </c>
      <c r="S193">
        <f t="shared" si="13"/>
        <v>32.763784250877684</v>
      </c>
      <c r="T193">
        <f t="shared" si="14"/>
        <v>2358.9924660631932</v>
      </c>
    </row>
    <row r="194" spans="1:20" x14ac:dyDescent="0.25">
      <c r="A194" s="1">
        <v>37</v>
      </c>
      <c r="B194" t="s">
        <v>36</v>
      </c>
      <c r="C194" t="s">
        <v>8</v>
      </c>
      <c r="D194" t="s">
        <v>18</v>
      </c>
      <c r="E194">
        <v>668</v>
      </c>
      <c r="F194">
        <v>180</v>
      </c>
      <c r="G194">
        <v>372.27133687746101</v>
      </c>
      <c r="H194">
        <v>372.27133687750211</v>
      </c>
      <c r="I194">
        <f t="shared" si="10"/>
        <v>1116814.0106325063</v>
      </c>
      <c r="J194">
        <v>0.99755443423619794</v>
      </c>
      <c r="K194">
        <v>25</v>
      </c>
      <c r="L194">
        <v>1</v>
      </c>
      <c r="M194">
        <v>3000</v>
      </c>
      <c r="N194">
        <v>82.06</v>
      </c>
      <c r="O194">
        <v>296.14999999999998</v>
      </c>
      <c r="P194">
        <f t="shared" si="11"/>
        <v>1.0287189950781558E-3</v>
      </c>
      <c r="Q194">
        <v>12</v>
      </c>
      <c r="R194">
        <f t="shared" si="12"/>
        <v>13786.653440484921</v>
      </c>
      <c r="S194">
        <f t="shared" si="13"/>
        <v>76.59251911380511</v>
      </c>
      <c r="T194">
        <f t="shared" si="14"/>
        <v>5514.661376193968</v>
      </c>
    </row>
    <row r="195" spans="1:20" x14ac:dyDescent="0.25">
      <c r="A195" s="1">
        <v>38</v>
      </c>
      <c r="B195" t="s">
        <v>36</v>
      </c>
      <c r="C195" t="s">
        <v>8</v>
      </c>
      <c r="D195" t="s">
        <v>18</v>
      </c>
      <c r="E195">
        <v>668</v>
      </c>
      <c r="F195">
        <v>180</v>
      </c>
      <c r="G195">
        <v>189.49680453392853</v>
      </c>
      <c r="H195">
        <v>189.49680453394984</v>
      </c>
      <c r="I195">
        <f t="shared" ref="I195:I258" si="15">H195*3000</f>
        <v>568490.41360184958</v>
      </c>
      <c r="J195">
        <v>0.99974249976922769</v>
      </c>
      <c r="K195">
        <v>25</v>
      </c>
      <c r="L195">
        <v>1</v>
      </c>
      <c r="M195">
        <v>3000</v>
      </c>
      <c r="N195">
        <v>82.06</v>
      </c>
      <c r="O195">
        <v>296.14999999999998</v>
      </c>
      <c r="P195">
        <f t="shared" ref="P195:P258" si="16">(L195*K195)/(N195*O195)</f>
        <v>1.0287189950781558E-3</v>
      </c>
      <c r="Q195">
        <v>12</v>
      </c>
      <c r="R195">
        <f t="shared" ref="R195:R258" si="17">Q195*P195*I195</f>
        <v>7017.802643904718</v>
      </c>
      <c r="S195">
        <f t="shared" ref="S195:S258" si="18">R195/F195</f>
        <v>38.987792466137321</v>
      </c>
      <c r="T195">
        <f t="shared" ref="T195:T258" si="19">S195*72</f>
        <v>2807.121057561887</v>
      </c>
    </row>
    <row r="196" spans="1:20" x14ac:dyDescent="0.25">
      <c r="A196" s="1">
        <v>39</v>
      </c>
      <c r="B196" t="s">
        <v>36</v>
      </c>
      <c r="C196" t="s">
        <v>8</v>
      </c>
      <c r="D196" t="s">
        <v>18</v>
      </c>
      <c r="E196">
        <v>668.01666666666665</v>
      </c>
      <c r="F196">
        <v>180</v>
      </c>
      <c r="G196">
        <v>88.010493976356486</v>
      </c>
      <c r="H196">
        <v>88.010493976366249</v>
      </c>
      <c r="I196">
        <f t="shared" si="15"/>
        <v>264031.48192909872</v>
      </c>
      <c r="J196">
        <v>0.99861809944612379</v>
      </c>
      <c r="K196">
        <v>25</v>
      </c>
      <c r="L196">
        <v>1</v>
      </c>
      <c r="M196">
        <v>3000</v>
      </c>
      <c r="N196">
        <v>82.06</v>
      </c>
      <c r="O196">
        <v>296.14999999999998</v>
      </c>
      <c r="P196">
        <f t="shared" si="16"/>
        <v>1.0287189950781558E-3</v>
      </c>
      <c r="Q196">
        <v>12</v>
      </c>
      <c r="R196">
        <f t="shared" si="17"/>
        <v>3259.3704091091845</v>
      </c>
      <c r="S196">
        <f t="shared" si="18"/>
        <v>18.107613383939913</v>
      </c>
      <c r="T196">
        <f t="shared" si="19"/>
        <v>1303.7481636436737</v>
      </c>
    </row>
    <row r="197" spans="1:20" x14ac:dyDescent="0.25">
      <c r="A197" s="1">
        <v>40</v>
      </c>
      <c r="B197" t="s">
        <v>36</v>
      </c>
      <c r="C197" t="s">
        <v>8</v>
      </c>
      <c r="D197" t="s">
        <v>18</v>
      </c>
      <c r="E197">
        <v>668.01666666666665</v>
      </c>
      <c r="F197">
        <v>180</v>
      </c>
      <c r="G197">
        <v>443.74483162438543</v>
      </c>
      <c r="H197">
        <v>443.74483162443454</v>
      </c>
      <c r="I197">
        <f t="shared" si="15"/>
        <v>1331234.4948733037</v>
      </c>
      <c r="J197">
        <v>0.99701448513705671</v>
      </c>
      <c r="K197">
        <v>25</v>
      </c>
      <c r="L197">
        <v>1</v>
      </c>
      <c r="M197">
        <v>3000</v>
      </c>
      <c r="N197">
        <v>82.06</v>
      </c>
      <c r="O197">
        <v>296.14999999999998</v>
      </c>
      <c r="P197">
        <f t="shared" si="16"/>
        <v>1.0287189950781558E-3</v>
      </c>
      <c r="Q197">
        <v>12</v>
      </c>
      <c r="R197">
        <f t="shared" si="17"/>
        <v>16433.594541353297</v>
      </c>
      <c r="S197">
        <f t="shared" si="18"/>
        <v>91.297747451962763</v>
      </c>
      <c r="T197">
        <f t="shared" si="19"/>
        <v>6573.4378165413191</v>
      </c>
    </row>
    <row r="198" spans="1:20" x14ac:dyDescent="0.25">
      <c r="A198" s="1">
        <v>41</v>
      </c>
      <c r="B198" t="s">
        <v>36</v>
      </c>
      <c r="C198" t="s">
        <v>9</v>
      </c>
      <c r="D198" t="s">
        <v>18</v>
      </c>
      <c r="E198">
        <v>668.0333333333333</v>
      </c>
      <c r="F198">
        <v>180</v>
      </c>
      <c r="G198">
        <v>108.85272537041948</v>
      </c>
      <c r="H198">
        <v>108.85272537044172</v>
      </c>
      <c r="I198">
        <f t="shared" si="15"/>
        <v>326558.17611132516</v>
      </c>
      <c r="J198">
        <v>0.99577690105534522</v>
      </c>
      <c r="K198">
        <v>25</v>
      </c>
      <c r="L198">
        <v>1</v>
      </c>
      <c r="M198">
        <v>3000</v>
      </c>
      <c r="N198">
        <v>82.06</v>
      </c>
      <c r="O198">
        <v>296.14999999999998</v>
      </c>
      <c r="P198">
        <f t="shared" si="16"/>
        <v>1.0287189950781558E-3</v>
      </c>
      <c r="Q198">
        <v>12</v>
      </c>
      <c r="R198">
        <f t="shared" si="17"/>
        <v>4031.2391851655739</v>
      </c>
      <c r="S198">
        <f t="shared" si="18"/>
        <v>22.395773250919856</v>
      </c>
      <c r="T198">
        <f t="shared" si="19"/>
        <v>1612.4956740662296</v>
      </c>
    </row>
    <row r="199" spans="1:20" x14ac:dyDescent="0.25">
      <c r="A199" s="1">
        <v>42</v>
      </c>
      <c r="B199" t="s">
        <v>36</v>
      </c>
      <c r="C199" t="s">
        <v>9</v>
      </c>
      <c r="D199" t="s">
        <v>18</v>
      </c>
      <c r="E199">
        <v>668.0333333333333</v>
      </c>
      <c r="F199">
        <v>180</v>
      </c>
      <c r="G199">
        <v>248.28600805651149</v>
      </c>
      <c r="H199">
        <v>248.28600805656311</v>
      </c>
      <c r="I199">
        <f t="shared" si="15"/>
        <v>744858.02416968928</v>
      </c>
      <c r="J199">
        <v>0.99878230059096795</v>
      </c>
      <c r="K199">
        <v>25</v>
      </c>
      <c r="L199">
        <v>1</v>
      </c>
      <c r="M199">
        <v>3000</v>
      </c>
      <c r="N199">
        <v>82.06</v>
      </c>
      <c r="O199">
        <v>296.14999999999998</v>
      </c>
      <c r="P199">
        <f t="shared" si="16"/>
        <v>1.0287189950781558E-3</v>
      </c>
      <c r="Q199">
        <v>12</v>
      </c>
      <c r="R199">
        <f t="shared" si="17"/>
        <v>9194.9951771969208</v>
      </c>
      <c r="S199">
        <f t="shared" si="18"/>
        <v>51.083306539982893</v>
      </c>
      <c r="T199">
        <f t="shared" si="19"/>
        <v>3677.9980708787684</v>
      </c>
    </row>
    <row r="200" spans="1:20" x14ac:dyDescent="0.25">
      <c r="A200" s="1">
        <v>43</v>
      </c>
      <c r="B200" t="s">
        <v>36</v>
      </c>
      <c r="C200" t="s">
        <v>9</v>
      </c>
      <c r="D200" t="s">
        <v>18</v>
      </c>
      <c r="E200">
        <v>668.05</v>
      </c>
      <c r="F200">
        <v>180</v>
      </c>
      <c r="G200">
        <v>55.785329742208489</v>
      </c>
      <c r="H200">
        <v>55.785329742214643</v>
      </c>
      <c r="I200">
        <f t="shared" si="15"/>
        <v>167355.98922664393</v>
      </c>
      <c r="J200">
        <v>0.99925324043697483</v>
      </c>
      <c r="K200">
        <v>25</v>
      </c>
      <c r="L200">
        <v>1</v>
      </c>
      <c r="M200">
        <v>3000</v>
      </c>
      <c r="N200">
        <v>82.06</v>
      </c>
      <c r="O200">
        <v>296.14999999999998</v>
      </c>
      <c r="P200">
        <f t="shared" si="16"/>
        <v>1.0287189950781558E-3</v>
      </c>
      <c r="Q200">
        <v>12</v>
      </c>
      <c r="R200">
        <f t="shared" si="17"/>
        <v>2065.9474206905256</v>
      </c>
      <c r="S200">
        <f t="shared" si="18"/>
        <v>11.47748567050292</v>
      </c>
      <c r="T200">
        <f t="shared" si="19"/>
        <v>826.37896827621023</v>
      </c>
    </row>
    <row r="201" spans="1:20" x14ac:dyDescent="0.25">
      <c r="A201" s="1">
        <v>44</v>
      </c>
      <c r="B201" t="s">
        <v>36</v>
      </c>
      <c r="C201" t="s">
        <v>9</v>
      </c>
      <c r="D201" t="s">
        <v>18</v>
      </c>
      <c r="E201">
        <v>668.05</v>
      </c>
      <c r="F201">
        <v>180</v>
      </c>
      <c r="G201">
        <v>215.84967517822349</v>
      </c>
      <c r="H201">
        <v>215.84967517824694</v>
      </c>
      <c r="I201">
        <f t="shared" si="15"/>
        <v>647549.02553474077</v>
      </c>
      <c r="J201">
        <v>0.99465174775728571</v>
      </c>
      <c r="K201">
        <v>25</v>
      </c>
      <c r="L201">
        <v>1</v>
      </c>
      <c r="M201">
        <v>3000</v>
      </c>
      <c r="N201">
        <v>82.06</v>
      </c>
      <c r="O201">
        <v>296.14999999999998</v>
      </c>
      <c r="P201">
        <f t="shared" si="16"/>
        <v>1.0287189950781558E-3</v>
      </c>
      <c r="Q201">
        <v>12</v>
      </c>
      <c r="R201">
        <f t="shared" si="17"/>
        <v>7993.7517937432513</v>
      </c>
      <c r="S201">
        <f t="shared" si="18"/>
        <v>44.40973218746251</v>
      </c>
      <c r="T201">
        <f t="shared" si="19"/>
        <v>3197.5007174973007</v>
      </c>
    </row>
    <row r="202" spans="1:20" x14ac:dyDescent="0.25">
      <c r="A202" s="1">
        <v>45</v>
      </c>
      <c r="B202" t="s">
        <v>6</v>
      </c>
      <c r="C202" t="s">
        <v>8</v>
      </c>
      <c r="D202" t="s">
        <v>18</v>
      </c>
      <c r="E202">
        <v>667.08333333333337</v>
      </c>
      <c r="F202">
        <v>180</v>
      </c>
      <c r="G202">
        <v>219.99755913724147</v>
      </c>
      <c r="H202">
        <v>219.99755913726642</v>
      </c>
      <c r="I202">
        <f t="shared" si="15"/>
        <v>659992.67741179932</v>
      </c>
      <c r="J202">
        <v>0.99992940847693146</v>
      </c>
      <c r="K202">
        <v>25</v>
      </c>
      <c r="L202">
        <v>1</v>
      </c>
      <c r="M202">
        <v>3000</v>
      </c>
      <c r="N202">
        <v>82.06</v>
      </c>
      <c r="O202">
        <v>296.14999999999998</v>
      </c>
      <c r="P202">
        <f t="shared" si="16"/>
        <v>1.0287189950781558E-3</v>
      </c>
      <c r="Q202">
        <v>12</v>
      </c>
      <c r="R202">
        <f t="shared" si="17"/>
        <v>8147.364046392092</v>
      </c>
      <c r="S202">
        <f t="shared" si="18"/>
        <v>45.263133591067181</v>
      </c>
      <c r="T202">
        <f t="shared" si="19"/>
        <v>3258.945618556837</v>
      </c>
    </row>
    <row r="203" spans="1:20" x14ac:dyDescent="0.25">
      <c r="A203" s="1">
        <v>46</v>
      </c>
      <c r="B203" t="s">
        <v>6</v>
      </c>
      <c r="C203" t="s">
        <v>8</v>
      </c>
      <c r="D203" t="s">
        <v>18</v>
      </c>
      <c r="E203">
        <v>667.08333333333337</v>
      </c>
      <c r="F203">
        <v>180</v>
      </c>
      <c r="G203">
        <v>132.43821373898299</v>
      </c>
      <c r="H203">
        <v>132.43821373899814</v>
      </c>
      <c r="I203">
        <f t="shared" si="15"/>
        <v>397314.64121699444</v>
      </c>
      <c r="J203">
        <v>0.99998682543106332</v>
      </c>
      <c r="K203">
        <v>25</v>
      </c>
      <c r="L203">
        <v>1</v>
      </c>
      <c r="M203">
        <v>3000</v>
      </c>
      <c r="N203">
        <v>82.06</v>
      </c>
      <c r="O203">
        <v>296.14999999999998</v>
      </c>
      <c r="P203">
        <f t="shared" si="16"/>
        <v>1.0287189950781558E-3</v>
      </c>
      <c r="Q203">
        <v>12</v>
      </c>
      <c r="R203">
        <f t="shared" si="17"/>
        <v>4904.7014213110142</v>
      </c>
      <c r="S203">
        <f t="shared" si="18"/>
        <v>27.248341229505634</v>
      </c>
      <c r="T203">
        <f t="shared" si="19"/>
        <v>1961.8805685244056</v>
      </c>
    </row>
    <row r="204" spans="1:20" x14ac:dyDescent="0.25">
      <c r="A204" s="1">
        <v>47</v>
      </c>
      <c r="B204" t="s">
        <v>6</v>
      </c>
      <c r="C204" t="s">
        <v>8</v>
      </c>
      <c r="D204" t="s">
        <v>18</v>
      </c>
      <c r="E204">
        <v>667.1</v>
      </c>
      <c r="F204">
        <v>180</v>
      </c>
      <c r="G204">
        <v>602.86984173326857</v>
      </c>
      <c r="H204">
        <v>602.86984173327767</v>
      </c>
      <c r="I204">
        <f t="shared" si="15"/>
        <v>1808609.5251998331</v>
      </c>
      <c r="J204">
        <v>0.99723853148637176</v>
      </c>
      <c r="K204">
        <v>25</v>
      </c>
      <c r="L204">
        <v>1</v>
      </c>
      <c r="M204">
        <v>3000</v>
      </c>
      <c r="N204">
        <v>82.06</v>
      </c>
      <c r="O204">
        <v>296.14999999999998</v>
      </c>
      <c r="P204">
        <f t="shared" si="16"/>
        <v>1.0287189950781558E-3</v>
      </c>
      <c r="Q204">
        <v>12</v>
      </c>
      <c r="R204">
        <f t="shared" si="17"/>
        <v>22326.611679028232</v>
      </c>
      <c r="S204">
        <f t="shared" si="18"/>
        <v>124.03673155015684</v>
      </c>
      <c r="T204">
        <f t="shared" si="19"/>
        <v>8930.6446716112932</v>
      </c>
    </row>
    <row r="205" spans="1:20" x14ac:dyDescent="0.25">
      <c r="A205" s="1">
        <v>48</v>
      </c>
      <c r="B205" t="s">
        <v>6</v>
      </c>
      <c r="C205" t="s">
        <v>8</v>
      </c>
      <c r="D205" t="s">
        <v>18</v>
      </c>
      <c r="E205">
        <v>667.1</v>
      </c>
      <c r="F205">
        <v>180</v>
      </c>
      <c r="G205">
        <v>180.04248904066452</v>
      </c>
      <c r="H205">
        <v>180.04248904066731</v>
      </c>
      <c r="I205">
        <f t="shared" si="15"/>
        <v>540127.46712200192</v>
      </c>
      <c r="J205">
        <v>0.99818165118566493</v>
      </c>
      <c r="K205">
        <v>25</v>
      </c>
      <c r="L205">
        <v>1</v>
      </c>
      <c r="M205">
        <v>3000</v>
      </c>
      <c r="N205">
        <v>82.06</v>
      </c>
      <c r="O205">
        <v>296.14999999999998</v>
      </c>
      <c r="P205">
        <f t="shared" si="16"/>
        <v>1.0287189950781558E-3</v>
      </c>
      <c r="Q205">
        <v>12</v>
      </c>
      <c r="R205">
        <f t="shared" si="17"/>
        <v>6667.6726223022652</v>
      </c>
      <c r="S205">
        <f t="shared" si="18"/>
        <v>37.042625679457032</v>
      </c>
      <c r="T205">
        <f t="shared" si="19"/>
        <v>2667.0690489209064</v>
      </c>
    </row>
    <row r="206" spans="1:20" x14ac:dyDescent="0.25">
      <c r="A206" s="1">
        <v>49</v>
      </c>
      <c r="B206" t="s">
        <v>6</v>
      </c>
      <c r="C206" t="s">
        <v>9</v>
      </c>
      <c r="D206" t="s">
        <v>18</v>
      </c>
      <c r="E206">
        <v>667.13333333333333</v>
      </c>
      <c r="F206">
        <v>180</v>
      </c>
      <c r="G206">
        <v>47.646574001912995</v>
      </c>
      <c r="H206">
        <v>47.646574001918033</v>
      </c>
      <c r="I206">
        <f t="shared" si="15"/>
        <v>142939.7220057541</v>
      </c>
      <c r="J206">
        <v>0.9906614178179296</v>
      </c>
      <c r="K206">
        <v>25</v>
      </c>
      <c r="L206">
        <v>1</v>
      </c>
      <c r="M206">
        <v>3000</v>
      </c>
      <c r="N206">
        <v>82.06</v>
      </c>
      <c r="O206">
        <v>296.14999999999998</v>
      </c>
      <c r="P206">
        <f t="shared" si="16"/>
        <v>1.0287189950781558E-3</v>
      </c>
      <c r="Q206">
        <v>12</v>
      </c>
      <c r="R206">
        <f t="shared" si="17"/>
        <v>1764.5376861421237</v>
      </c>
      <c r="S206">
        <f t="shared" si="18"/>
        <v>9.8029871452340203</v>
      </c>
      <c r="T206">
        <f t="shared" si="19"/>
        <v>705.81507445684952</v>
      </c>
    </row>
    <row r="207" spans="1:20" x14ac:dyDescent="0.25">
      <c r="A207" s="1">
        <v>50</v>
      </c>
      <c r="B207" t="s">
        <v>6</v>
      </c>
      <c r="C207" t="s">
        <v>9</v>
      </c>
      <c r="D207" t="s">
        <v>18</v>
      </c>
      <c r="E207">
        <v>667.13333333333333</v>
      </c>
      <c r="F207">
        <v>180</v>
      </c>
      <c r="G207">
        <v>53.831735748449489</v>
      </c>
      <c r="H207">
        <v>53.831735748455273</v>
      </c>
      <c r="I207">
        <f t="shared" si="15"/>
        <v>161495.20724536583</v>
      </c>
      <c r="J207">
        <v>0.99106879967784989</v>
      </c>
      <c r="K207">
        <v>25</v>
      </c>
      <c r="L207">
        <v>1</v>
      </c>
      <c r="M207">
        <v>3000</v>
      </c>
      <c r="N207">
        <v>82.06</v>
      </c>
      <c r="O207">
        <v>296.14999999999998</v>
      </c>
      <c r="P207">
        <f t="shared" si="16"/>
        <v>1.0287189950781558E-3</v>
      </c>
      <c r="Q207">
        <v>12</v>
      </c>
      <c r="R207">
        <f t="shared" si="17"/>
        <v>1993.598247688695</v>
      </c>
      <c r="S207">
        <f t="shared" si="18"/>
        <v>11.075545820492749</v>
      </c>
      <c r="T207">
        <f t="shared" si="19"/>
        <v>797.43929907547795</v>
      </c>
    </row>
    <row r="208" spans="1:20" x14ac:dyDescent="0.25">
      <c r="A208" s="1">
        <v>51</v>
      </c>
      <c r="B208" t="s">
        <v>6</v>
      </c>
      <c r="C208" t="s">
        <v>9</v>
      </c>
      <c r="D208" t="s">
        <v>18</v>
      </c>
      <c r="E208">
        <v>667.15</v>
      </c>
      <c r="F208">
        <v>180</v>
      </c>
      <c r="G208">
        <v>68.278600577346992</v>
      </c>
      <c r="H208">
        <v>68.278600577360464</v>
      </c>
      <c r="I208">
        <f t="shared" si="15"/>
        <v>204835.8017320814</v>
      </c>
      <c r="J208">
        <v>0.98772205425510218</v>
      </c>
      <c r="K208">
        <v>25</v>
      </c>
      <c r="L208">
        <v>1</v>
      </c>
      <c r="M208">
        <v>3000</v>
      </c>
      <c r="N208">
        <v>82.06</v>
      </c>
      <c r="O208">
        <v>296.14999999999998</v>
      </c>
      <c r="P208">
        <f t="shared" si="16"/>
        <v>1.0287189950781558E-3</v>
      </c>
      <c r="Q208">
        <v>12</v>
      </c>
      <c r="R208">
        <f t="shared" si="17"/>
        <v>2528.6217613662616</v>
      </c>
      <c r="S208">
        <f t="shared" si="18"/>
        <v>14.047898674257009</v>
      </c>
      <c r="T208">
        <f t="shared" si="19"/>
        <v>1011.4487045465047</v>
      </c>
    </row>
    <row r="209" spans="1:20" x14ac:dyDescent="0.25">
      <c r="A209" s="1">
        <v>52</v>
      </c>
      <c r="B209" t="s">
        <v>6</v>
      </c>
      <c r="C209" t="s">
        <v>9</v>
      </c>
      <c r="D209" t="s">
        <v>18</v>
      </c>
      <c r="E209">
        <v>667.15</v>
      </c>
      <c r="F209">
        <v>180</v>
      </c>
      <c r="G209">
        <v>489.05945978868147</v>
      </c>
      <c r="H209">
        <v>489.05945978878179</v>
      </c>
      <c r="I209">
        <f t="shared" si="15"/>
        <v>1467178.3793663455</v>
      </c>
      <c r="J209">
        <v>0.99609243130523517</v>
      </c>
      <c r="K209">
        <v>25</v>
      </c>
      <c r="L209">
        <v>1</v>
      </c>
      <c r="M209">
        <v>3000</v>
      </c>
      <c r="N209">
        <v>82.06</v>
      </c>
      <c r="O209">
        <v>296.14999999999998</v>
      </c>
      <c r="P209">
        <f t="shared" si="16"/>
        <v>1.0287189950781558E-3</v>
      </c>
      <c r="Q209">
        <v>12</v>
      </c>
      <c r="R209">
        <f t="shared" si="17"/>
        <v>18111.77121626573</v>
      </c>
      <c r="S209">
        <f t="shared" si="18"/>
        <v>100.62095120147627</v>
      </c>
      <c r="T209">
        <f t="shared" si="19"/>
        <v>7244.7084865062916</v>
      </c>
    </row>
    <row r="210" spans="1:20" x14ac:dyDescent="0.25">
      <c r="A210" s="1">
        <v>53</v>
      </c>
      <c r="B210" t="s">
        <v>7</v>
      </c>
      <c r="C210" t="s">
        <v>8</v>
      </c>
      <c r="D210" t="s">
        <v>18</v>
      </c>
      <c r="E210">
        <v>671.18333333333328</v>
      </c>
      <c r="F210">
        <v>180</v>
      </c>
      <c r="G210">
        <v>82.774313849401494</v>
      </c>
      <c r="H210">
        <v>82.774313849410362</v>
      </c>
      <c r="I210">
        <f t="shared" si="15"/>
        <v>248322.94154823109</v>
      </c>
      <c r="J210">
        <v>0.99165942122175021</v>
      </c>
      <c r="K210">
        <v>25</v>
      </c>
      <c r="L210">
        <v>1</v>
      </c>
      <c r="M210">
        <v>3000</v>
      </c>
      <c r="N210">
        <v>82.06</v>
      </c>
      <c r="O210">
        <v>296.14999999999998</v>
      </c>
      <c r="P210">
        <f t="shared" si="16"/>
        <v>1.0287189950781558E-3</v>
      </c>
      <c r="Q210">
        <v>12</v>
      </c>
      <c r="R210">
        <f t="shared" si="17"/>
        <v>3065.454322612175</v>
      </c>
      <c r="S210">
        <f t="shared" si="18"/>
        <v>17.030301792289862</v>
      </c>
      <c r="T210">
        <f t="shared" si="19"/>
        <v>1226.1817290448701</v>
      </c>
    </row>
    <row r="211" spans="1:20" x14ac:dyDescent="0.25">
      <c r="A211" s="1">
        <v>54</v>
      </c>
      <c r="B211" t="s">
        <v>7</v>
      </c>
      <c r="C211" t="s">
        <v>8</v>
      </c>
      <c r="D211" t="s">
        <v>18</v>
      </c>
      <c r="E211">
        <v>671.18333333333328</v>
      </c>
      <c r="F211">
        <v>180</v>
      </c>
      <c r="G211">
        <v>771.18007003923458</v>
      </c>
      <c r="H211">
        <v>771.18007003932053</v>
      </c>
      <c r="I211">
        <f t="shared" si="15"/>
        <v>2313540.2101179617</v>
      </c>
      <c r="J211">
        <v>0.99862646552706036</v>
      </c>
      <c r="K211">
        <v>25</v>
      </c>
      <c r="L211">
        <v>1</v>
      </c>
      <c r="M211">
        <v>3000</v>
      </c>
      <c r="N211">
        <v>82.06</v>
      </c>
      <c r="O211">
        <v>296.14999999999998</v>
      </c>
      <c r="P211">
        <f t="shared" si="16"/>
        <v>1.0287189950781558E-3</v>
      </c>
      <c r="Q211">
        <v>12</v>
      </c>
      <c r="R211">
        <f t="shared" si="17"/>
        <v>28559.793120305461</v>
      </c>
      <c r="S211">
        <f t="shared" si="18"/>
        <v>158.66551733503033</v>
      </c>
      <c r="T211">
        <f t="shared" si="19"/>
        <v>11423.917248122183</v>
      </c>
    </row>
    <row r="212" spans="1:20" x14ac:dyDescent="0.25">
      <c r="A212" s="1">
        <v>55</v>
      </c>
      <c r="B212" t="s">
        <v>7</v>
      </c>
      <c r="C212" t="s">
        <v>8</v>
      </c>
      <c r="D212" t="s">
        <v>18</v>
      </c>
      <c r="E212">
        <v>671.2</v>
      </c>
      <c r="F212">
        <v>180</v>
      </c>
      <c r="G212">
        <v>183.56778375826349</v>
      </c>
      <c r="H212">
        <v>183.56778375828364</v>
      </c>
      <c r="I212">
        <f t="shared" si="15"/>
        <v>550703.35127485089</v>
      </c>
      <c r="J212">
        <v>0.99533417503218702</v>
      </c>
      <c r="K212">
        <v>25</v>
      </c>
      <c r="L212">
        <v>1</v>
      </c>
      <c r="M212">
        <v>3000</v>
      </c>
      <c r="N212">
        <v>82.06</v>
      </c>
      <c r="O212">
        <v>296.14999999999998</v>
      </c>
      <c r="P212">
        <f t="shared" si="16"/>
        <v>1.0287189950781558E-3</v>
      </c>
      <c r="Q212">
        <v>12</v>
      </c>
      <c r="R212">
        <f t="shared" si="17"/>
        <v>6798.227977315647</v>
      </c>
      <c r="S212">
        <f t="shared" si="18"/>
        <v>37.767933207309149</v>
      </c>
      <c r="T212">
        <f t="shared" si="19"/>
        <v>2719.2911909262589</v>
      </c>
    </row>
    <row r="213" spans="1:20" x14ac:dyDescent="0.25">
      <c r="A213" s="1">
        <v>56</v>
      </c>
      <c r="B213" t="s">
        <v>7</v>
      </c>
      <c r="C213" t="s">
        <v>8</v>
      </c>
      <c r="D213" t="s">
        <v>18</v>
      </c>
      <c r="E213">
        <v>671.2</v>
      </c>
      <c r="F213">
        <v>180</v>
      </c>
      <c r="G213">
        <v>151.21589488238004</v>
      </c>
      <c r="H213">
        <v>151.21589488239636</v>
      </c>
      <c r="I213">
        <f t="shared" si="15"/>
        <v>453647.68464718905</v>
      </c>
      <c r="J213">
        <v>0.99111998570882298</v>
      </c>
      <c r="K213">
        <v>25</v>
      </c>
      <c r="L213">
        <v>1</v>
      </c>
      <c r="M213">
        <v>3000</v>
      </c>
      <c r="N213">
        <v>82.06</v>
      </c>
      <c r="O213">
        <v>296.14999999999998</v>
      </c>
      <c r="P213">
        <f t="shared" si="16"/>
        <v>1.0287189950781558E-3</v>
      </c>
      <c r="Q213">
        <v>12</v>
      </c>
      <c r="R213">
        <f t="shared" si="17"/>
        <v>5600.1118832374614</v>
      </c>
      <c r="S213">
        <f t="shared" si="18"/>
        <v>31.111732684652562</v>
      </c>
      <c r="T213">
        <f t="shared" si="19"/>
        <v>2240.0447532949843</v>
      </c>
    </row>
    <row r="214" spans="1:20" x14ac:dyDescent="0.25">
      <c r="A214" s="1">
        <v>57</v>
      </c>
      <c r="B214" t="s">
        <v>7</v>
      </c>
      <c r="C214" t="s">
        <v>9</v>
      </c>
      <c r="D214" t="s">
        <v>18</v>
      </c>
      <c r="E214">
        <v>671.23333333333335</v>
      </c>
      <c r="F214">
        <v>180</v>
      </c>
      <c r="G214">
        <v>229.32724332882452</v>
      </c>
      <c r="H214">
        <v>229.32724332885002</v>
      </c>
      <c r="I214">
        <f t="shared" si="15"/>
        <v>687981.72998655005</v>
      </c>
      <c r="J214">
        <v>0.99849391627161099</v>
      </c>
      <c r="K214">
        <v>25</v>
      </c>
      <c r="L214">
        <v>1</v>
      </c>
      <c r="M214">
        <v>3000</v>
      </c>
      <c r="N214">
        <v>82.06</v>
      </c>
      <c r="O214">
        <v>296.14999999999998</v>
      </c>
      <c r="P214">
        <f t="shared" si="16"/>
        <v>1.0287189950781558E-3</v>
      </c>
      <c r="Q214">
        <v>12</v>
      </c>
      <c r="R214">
        <f t="shared" si="17"/>
        <v>8492.8784868467392</v>
      </c>
      <c r="S214">
        <f t="shared" si="18"/>
        <v>47.182658260259664</v>
      </c>
      <c r="T214">
        <f t="shared" si="19"/>
        <v>3397.1513947386957</v>
      </c>
    </row>
    <row r="215" spans="1:20" x14ac:dyDescent="0.25">
      <c r="A215" s="1">
        <v>58</v>
      </c>
      <c r="B215" t="s">
        <v>7</v>
      </c>
      <c r="C215" t="s">
        <v>9</v>
      </c>
      <c r="D215" t="s">
        <v>18</v>
      </c>
      <c r="E215">
        <v>671.23333333333335</v>
      </c>
      <c r="F215">
        <v>180</v>
      </c>
      <c r="G215">
        <v>421.78221727141749</v>
      </c>
      <c r="H215">
        <v>421.78221727146831</v>
      </c>
      <c r="I215">
        <f t="shared" si="15"/>
        <v>1265346.6518144049</v>
      </c>
      <c r="J215">
        <v>0.99146728758670011</v>
      </c>
      <c r="K215">
        <v>25</v>
      </c>
      <c r="L215">
        <v>1</v>
      </c>
      <c r="M215">
        <v>3000</v>
      </c>
      <c r="N215">
        <v>82.06</v>
      </c>
      <c r="O215">
        <v>296.14999999999998</v>
      </c>
      <c r="P215">
        <f t="shared" si="16"/>
        <v>1.0287189950781558E-3</v>
      </c>
      <c r="Q215">
        <v>12</v>
      </c>
      <c r="R215">
        <f t="shared" si="17"/>
        <v>15620.233632960284</v>
      </c>
      <c r="S215">
        <f t="shared" si="18"/>
        <v>86.77907573866824</v>
      </c>
      <c r="T215">
        <f t="shared" si="19"/>
        <v>6248.0934531841131</v>
      </c>
    </row>
    <row r="216" spans="1:20" x14ac:dyDescent="0.25">
      <c r="A216" s="1">
        <v>59</v>
      </c>
      <c r="B216" t="s">
        <v>7</v>
      </c>
      <c r="C216" t="s">
        <v>9</v>
      </c>
      <c r="D216" t="s">
        <v>18</v>
      </c>
      <c r="E216">
        <v>671.25</v>
      </c>
      <c r="F216">
        <v>180</v>
      </c>
      <c r="G216">
        <v>158.54499996106404</v>
      </c>
      <c r="H216">
        <v>158.54499996106648</v>
      </c>
      <c r="I216">
        <f t="shared" si="15"/>
        <v>475634.99988319946</v>
      </c>
      <c r="J216">
        <v>0.99840013339369071</v>
      </c>
      <c r="K216">
        <v>25</v>
      </c>
      <c r="L216">
        <v>1</v>
      </c>
      <c r="M216">
        <v>3000</v>
      </c>
      <c r="N216">
        <v>82.06</v>
      </c>
      <c r="O216">
        <v>296.14999999999998</v>
      </c>
      <c r="P216">
        <f t="shared" si="16"/>
        <v>1.0287189950781558E-3</v>
      </c>
      <c r="Q216">
        <v>12</v>
      </c>
      <c r="R216">
        <f t="shared" si="17"/>
        <v>5871.5371092461246</v>
      </c>
      <c r="S216">
        <f t="shared" si="18"/>
        <v>32.619650606922917</v>
      </c>
      <c r="T216">
        <f t="shared" si="19"/>
        <v>2348.6148436984499</v>
      </c>
    </row>
    <row r="217" spans="1:20" x14ac:dyDescent="0.25">
      <c r="A217" s="1">
        <v>60</v>
      </c>
      <c r="B217" t="s">
        <v>7</v>
      </c>
      <c r="C217" t="s">
        <v>9</v>
      </c>
      <c r="D217" t="s">
        <v>18</v>
      </c>
      <c r="E217">
        <v>671.25</v>
      </c>
      <c r="F217">
        <v>180</v>
      </c>
      <c r="G217">
        <v>140.4377179995185</v>
      </c>
      <c r="H217">
        <v>140.43771799952049</v>
      </c>
      <c r="I217">
        <f t="shared" si="15"/>
        <v>421313.15399856144</v>
      </c>
      <c r="J217">
        <v>0.98967506108785186</v>
      </c>
      <c r="K217">
        <v>25</v>
      </c>
      <c r="L217">
        <v>1</v>
      </c>
      <c r="M217">
        <v>3000</v>
      </c>
      <c r="N217">
        <v>82.06</v>
      </c>
      <c r="O217">
        <v>296.14999999999998</v>
      </c>
      <c r="P217">
        <f t="shared" si="16"/>
        <v>1.0287189950781558E-3</v>
      </c>
      <c r="Q217">
        <v>12</v>
      </c>
      <c r="R217">
        <f t="shared" si="17"/>
        <v>5200.9541327353008</v>
      </c>
      <c r="S217">
        <f t="shared" si="18"/>
        <v>28.894189626307227</v>
      </c>
      <c r="T217">
        <f t="shared" si="19"/>
        <v>2080.3816530941203</v>
      </c>
    </row>
    <row r="218" spans="1:20" x14ac:dyDescent="0.25">
      <c r="A218" s="1">
        <v>64</v>
      </c>
      <c r="B218" t="s">
        <v>37</v>
      </c>
      <c r="C218" t="s">
        <v>8</v>
      </c>
      <c r="D218" t="s">
        <v>10</v>
      </c>
      <c r="E218">
        <v>49.95</v>
      </c>
      <c r="F218">
        <v>180</v>
      </c>
      <c r="G218">
        <v>964.30403254405303</v>
      </c>
      <c r="H218">
        <v>964.30403254406281</v>
      </c>
      <c r="I218">
        <f t="shared" si="15"/>
        <v>2892912.0976321883</v>
      </c>
      <c r="J218">
        <v>0.99824257473275624</v>
      </c>
      <c r="K218">
        <v>25</v>
      </c>
      <c r="L218">
        <v>1</v>
      </c>
      <c r="M218">
        <v>3000</v>
      </c>
      <c r="N218">
        <v>82.06</v>
      </c>
      <c r="O218">
        <v>296.14999999999998</v>
      </c>
      <c r="P218">
        <f t="shared" si="16"/>
        <v>1.0287189950781558E-3</v>
      </c>
      <c r="Q218">
        <v>12</v>
      </c>
      <c r="R218">
        <f t="shared" si="17"/>
        <v>35711.923511107496</v>
      </c>
      <c r="S218">
        <f t="shared" si="18"/>
        <v>198.3995750617083</v>
      </c>
      <c r="T218">
        <f t="shared" si="19"/>
        <v>14284.769404442997</v>
      </c>
    </row>
    <row r="219" spans="1:20" x14ac:dyDescent="0.25">
      <c r="A219" s="1">
        <v>65</v>
      </c>
      <c r="B219" t="s">
        <v>37</v>
      </c>
      <c r="C219" t="s">
        <v>8</v>
      </c>
      <c r="D219" t="s">
        <v>10</v>
      </c>
      <c r="E219">
        <v>49.95</v>
      </c>
      <c r="F219">
        <v>180</v>
      </c>
      <c r="G219">
        <v>2803.4034847301846</v>
      </c>
      <c r="H219">
        <v>2803.4034847302137</v>
      </c>
      <c r="I219">
        <f t="shared" si="15"/>
        <v>8410210.4541906416</v>
      </c>
      <c r="J219">
        <v>0.99995462305453653</v>
      </c>
      <c r="K219">
        <v>25</v>
      </c>
      <c r="L219">
        <v>1</v>
      </c>
      <c r="M219">
        <v>3000</v>
      </c>
      <c r="N219">
        <v>82.06</v>
      </c>
      <c r="O219">
        <v>296.14999999999998</v>
      </c>
      <c r="P219">
        <f t="shared" si="16"/>
        <v>1.0287189950781558E-3</v>
      </c>
      <c r="Q219">
        <v>12</v>
      </c>
      <c r="R219">
        <f t="shared" si="17"/>
        <v>103820.91896196957</v>
      </c>
      <c r="S219">
        <f t="shared" si="18"/>
        <v>576.78288312205314</v>
      </c>
      <c r="T219">
        <f t="shared" si="19"/>
        <v>41528.367584787826</v>
      </c>
    </row>
    <row r="220" spans="1:20" x14ac:dyDescent="0.25">
      <c r="A220" s="1">
        <v>66</v>
      </c>
      <c r="B220" t="s">
        <v>37</v>
      </c>
      <c r="C220" t="s">
        <v>8</v>
      </c>
      <c r="D220" t="s">
        <v>10</v>
      </c>
      <c r="E220">
        <v>49.966666666666669</v>
      </c>
      <c r="F220">
        <v>180</v>
      </c>
      <c r="G220">
        <v>904.98344946824989</v>
      </c>
      <c r="H220">
        <v>904.9834494682533</v>
      </c>
      <c r="I220">
        <f t="shared" si="15"/>
        <v>2714950.34840476</v>
      </c>
      <c r="J220">
        <v>0.99940719382188925</v>
      </c>
      <c r="K220">
        <v>25</v>
      </c>
      <c r="L220">
        <v>1</v>
      </c>
      <c r="M220">
        <v>3000</v>
      </c>
      <c r="N220">
        <v>82.06</v>
      </c>
      <c r="O220">
        <v>296.14999999999998</v>
      </c>
      <c r="P220">
        <f t="shared" si="16"/>
        <v>1.0287189950781558E-3</v>
      </c>
      <c r="Q220">
        <v>12</v>
      </c>
      <c r="R220">
        <f t="shared" si="17"/>
        <v>33515.051929176407</v>
      </c>
      <c r="S220">
        <f t="shared" si="18"/>
        <v>186.19473293986891</v>
      </c>
      <c r="T220">
        <f t="shared" si="19"/>
        <v>13406.020771670563</v>
      </c>
    </row>
    <row r="221" spans="1:20" x14ac:dyDescent="0.25">
      <c r="A221" s="1">
        <v>67</v>
      </c>
      <c r="B221" t="s">
        <v>37</v>
      </c>
      <c r="C221" t="s">
        <v>8</v>
      </c>
      <c r="D221" t="s">
        <v>10</v>
      </c>
      <c r="E221">
        <v>49.966666666666669</v>
      </c>
      <c r="F221">
        <v>180</v>
      </c>
      <c r="G221">
        <v>3067.4355218907958</v>
      </c>
      <c r="H221">
        <v>3067.4355218908013</v>
      </c>
      <c r="I221">
        <f t="shared" si="15"/>
        <v>9202306.5656724032</v>
      </c>
      <c r="J221">
        <v>1</v>
      </c>
      <c r="K221">
        <v>25</v>
      </c>
      <c r="L221">
        <v>1</v>
      </c>
      <c r="M221">
        <v>3000</v>
      </c>
      <c r="N221">
        <v>82.06</v>
      </c>
      <c r="O221">
        <v>296.14999999999998</v>
      </c>
      <c r="P221">
        <f t="shared" si="16"/>
        <v>1.0287189950781558E-3</v>
      </c>
      <c r="Q221">
        <v>12</v>
      </c>
      <c r="R221">
        <f t="shared" si="17"/>
        <v>113599.05075167556</v>
      </c>
      <c r="S221">
        <f t="shared" si="18"/>
        <v>631.10583750930869</v>
      </c>
      <c r="T221">
        <f t="shared" si="19"/>
        <v>45439.620300670227</v>
      </c>
    </row>
    <row r="222" spans="1:20" x14ac:dyDescent="0.25">
      <c r="A222" s="1">
        <v>68</v>
      </c>
      <c r="B222" t="s">
        <v>37</v>
      </c>
      <c r="C222" t="s">
        <v>9</v>
      </c>
      <c r="D222" t="s">
        <v>10</v>
      </c>
      <c r="E222">
        <v>49.983333333333334</v>
      </c>
      <c r="F222">
        <v>180</v>
      </c>
      <c r="G222">
        <v>5082.0332532677003</v>
      </c>
      <c r="H222">
        <v>5082.0332532677521</v>
      </c>
      <c r="I222">
        <f t="shared" si="15"/>
        <v>15246099.759803256</v>
      </c>
      <c r="J222">
        <v>0.99944031744849715</v>
      </c>
      <c r="K222">
        <v>25</v>
      </c>
      <c r="L222">
        <v>1</v>
      </c>
      <c r="M222">
        <v>3000</v>
      </c>
      <c r="N222">
        <v>82.06</v>
      </c>
      <c r="O222">
        <v>296.14999999999998</v>
      </c>
      <c r="P222">
        <f t="shared" si="16"/>
        <v>1.0287189950781558E-3</v>
      </c>
      <c r="Q222">
        <v>12</v>
      </c>
      <c r="R222">
        <f t="shared" si="17"/>
        <v>188207.42908519341</v>
      </c>
      <c r="S222">
        <f t="shared" si="18"/>
        <v>1045.5968282510744</v>
      </c>
      <c r="T222">
        <f t="shared" si="19"/>
        <v>75282.971634077359</v>
      </c>
    </row>
    <row r="223" spans="1:20" x14ac:dyDescent="0.25">
      <c r="A223" s="1">
        <v>69</v>
      </c>
      <c r="B223" t="s">
        <v>37</v>
      </c>
      <c r="C223" t="s">
        <v>9</v>
      </c>
      <c r="D223" t="s">
        <v>10</v>
      </c>
      <c r="E223">
        <v>49.983333333333334</v>
      </c>
      <c r="F223">
        <v>180</v>
      </c>
      <c r="G223">
        <v>1507.8435966127849</v>
      </c>
      <c r="H223">
        <v>1507.8435966128004</v>
      </c>
      <c r="I223">
        <f t="shared" si="15"/>
        <v>4523530.7898384016</v>
      </c>
      <c r="J223">
        <v>0.99949452252388182</v>
      </c>
      <c r="K223">
        <v>25</v>
      </c>
      <c r="L223">
        <v>1</v>
      </c>
      <c r="M223">
        <v>3000</v>
      </c>
      <c r="N223">
        <v>82.06</v>
      </c>
      <c r="O223">
        <v>296.14999999999998</v>
      </c>
      <c r="P223">
        <f t="shared" si="16"/>
        <v>1.0287189950781558E-3</v>
      </c>
      <c r="Q223">
        <v>12</v>
      </c>
      <c r="R223">
        <f t="shared" si="17"/>
        <v>55841.304579931886</v>
      </c>
      <c r="S223">
        <f t="shared" si="18"/>
        <v>310.22946988851049</v>
      </c>
      <c r="T223">
        <f t="shared" si="19"/>
        <v>22336.521831972757</v>
      </c>
    </row>
    <row r="224" spans="1:20" x14ac:dyDescent="0.25">
      <c r="A224" s="1">
        <v>70</v>
      </c>
      <c r="B224" t="s">
        <v>37</v>
      </c>
      <c r="C224" t="s">
        <v>9</v>
      </c>
      <c r="D224" t="s">
        <v>10</v>
      </c>
      <c r="E224">
        <v>50</v>
      </c>
      <c r="F224">
        <v>180</v>
      </c>
      <c r="G224">
        <v>4541.1326790967996</v>
      </c>
      <c r="H224">
        <v>4541.1326790968187</v>
      </c>
      <c r="I224">
        <f t="shared" si="15"/>
        <v>13623398.037290456</v>
      </c>
      <c r="J224">
        <v>0.99999159932816939</v>
      </c>
      <c r="K224">
        <v>25</v>
      </c>
      <c r="L224">
        <v>1</v>
      </c>
      <c r="M224">
        <v>3000</v>
      </c>
      <c r="N224">
        <v>82.06</v>
      </c>
      <c r="O224">
        <v>296.14999999999998</v>
      </c>
      <c r="P224">
        <f t="shared" si="16"/>
        <v>1.0287189950781558E-3</v>
      </c>
      <c r="Q224">
        <v>12</v>
      </c>
      <c r="R224">
        <f t="shared" si="17"/>
        <v>168175.7800616539</v>
      </c>
      <c r="S224">
        <f t="shared" si="18"/>
        <v>934.30988923141058</v>
      </c>
      <c r="T224">
        <f t="shared" si="19"/>
        <v>67270.312024661558</v>
      </c>
    </row>
    <row r="225" spans="1:20" x14ac:dyDescent="0.25">
      <c r="A225" s="1">
        <v>71</v>
      </c>
      <c r="B225" t="s">
        <v>37</v>
      </c>
      <c r="C225" t="s">
        <v>9</v>
      </c>
      <c r="D225" t="s">
        <v>10</v>
      </c>
      <c r="E225">
        <v>50</v>
      </c>
      <c r="F225">
        <v>180</v>
      </c>
      <c r="G225">
        <v>864.88990113356613</v>
      </c>
      <c r="H225">
        <v>864.88990113356942</v>
      </c>
      <c r="I225">
        <f t="shared" si="15"/>
        <v>2594669.7034007083</v>
      </c>
      <c r="J225">
        <v>0.99938042290184881</v>
      </c>
      <c r="K225">
        <v>25</v>
      </c>
      <c r="L225">
        <v>1</v>
      </c>
      <c r="M225">
        <v>3000</v>
      </c>
      <c r="N225">
        <v>82.06</v>
      </c>
      <c r="O225">
        <v>296.14999999999998</v>
      </c>
      <c r="P225">
        <f t="shared" si="16"/>
        <v>1.0287189950781558E-3</v>
      </c>
      <c r="Q225">
        <v>12</v>
      </c>
      <c r="R225">
        <f t="shared" si="17"/>
        <v>32030.232118105359</v>
      </c>
      <c r="S225">
        <f t="shared" si="18"/>
        <v>177.94573398947421</v>
      </c>
      <c r="T225">
        <f t="shared" si="19"/>
        <v>12812.092847242144</v>
      </c>
    </row>
    <row r="226" spans="1:20" x14ac:dyDescent="0.25">
      <c r="A226" s="1">
        <v>64</v>
      </c>
      <c r="B226" t="s">
        <v>37</v>
      </c>
      <c r="C226" t="s">
        <v>8</v>
      </c>
      <c r="D226" t="s">
        <v>11</v>
      </c>
      <c r="E226">
        <v>97.666666666666671</v>
      </c>
      <c r="F226">
        <v>180</v>
      </c>
      <c r="G226">
        <v>659.67909440991548</v>
      </c>
      <c r="H226">
        <v>659.67909440991775</v>
      </c>
      <c r="I226">
        <f t="shared" si="15"/>
        <v>1979037.2832297531</v>
      </c>
      <c r="J226">
        <v>0.99791057611729383</v>
      </c>
      <c r="K226">
        <v>25</v>
      </c>
      <c r="L226">
        <v>1</v>
      </c>
      <c r="M226">
        <v>3000</v>
      </c>
      <c r="N226">
        <v>82.06</v>
      </c>
      <c r="O226">
        <v>296.14999999999998</v>
      </c>
      <c r="P226">
        <f t="shared" si="16"/>
        <v>1.0287189950781558E-3</v>
      </c>
      <c r="Q226">
        <v>12</v>
      </c>
      <c r="R226">
        <f t="shared" si="17"/>
        <v>24430.478942715785</v>
      </c>
      <c r="S226">
        <f t="shared" si="18"/>
        <v>135.7248830150877</v>
      </c>
      <c r="T226">
        <f t="shared" si="19"/>
        <v>9772.1915770863143</v>
      </c>
    </row>
    <row r="227" spans="1:20" x14ac:dyDescent="0.25">
      <c r="A227" s="1">
        <v>65</v>
      </c>
      <c r="B227" t="s">
        <v>37</v>
      </c>
      <c r="C227" t="s">
        <v>8</v>
      </c>
      <c r="D227" t="s">
        <v>11</v>
      </c>
      <c r="E227">
        <v>97.666666666666671</v>
      </c>
      <c r="F227">
        <v>180</v>
      </c>
      <c r="G227">
        <v>1754.99023950833</v>
      </c>
      <c r="H227">
        <v>1754.9902395083366</v>
      </c>
      <c r="I227">
        <f t="shared" si="15"/>
        <v>5264970.7185250102</v>
      </c>
      <c r="J227">
        <v>0.99829209764660409</v>
      </c>
      <c r="K227">
        <v>25</v>
      </c>
      <c r="L227">
        <v>1</v>
      </c>
      <c r="M227">
        <v>3000</v>
      </c>
      <c r="N227">
        <v>82.06</v>
      </c>
      <c r="O227">
        <v>296.14999999999998</v>
      </c>
      <c r="P227">
        <f t="shared" si="16"/>
        <v>1.0287189950781558E-3</v>
      </c>
      <c r="Q227">
        <v>12</v>
      </c>
      <c r="R227">
        <f t="shared" si="17"/>
        <v>64994.104640123573</v>
      </c>
      <c r="S227">
        <f t="shared" si="18"/>
        <v>361.07835911179762</v>
      </c>
      <c r="T227">
        <f t="shared" si="19"/>
        <v>25997.641856049428</v>
      </c>
    </row>
    <row r="228" spans="1:20" x14ac:dyDescent="0.25">
      <c r="A228" s="1">
        <v>66</v>
      </c>
      <c r="B228" t="s">
        <v>37</v>
      </c>
      <c r="C228" t="s">
        <v>8</v>
      </c>
      <c r="D228" t="s">
        <v>11</v>
      </c>
      <c r="E228">
        <v>97.683333333333337</v>
      </c>
      <c r="F228">
        <v>180</v>
      </c>
      <c r="G228">
        <v>756.51859813034014</v>
      </c>
      <c r="H228">
        <v>756.51859813035207</v>
      </c>
      <c r="I228">
        <f t="shared" si="15"/>
        <v>2269555.7943910561</v>
      </c>
      <c r="J228">
        <v>0.99959737069289489</v>
      </c>
      <c r="K228">
        <v>25</v>
      </c>
      <c r="L228">
        <v>1</v>
      </c>
      <c r="M228">
        <v>3000</v>
      </c>
      <c r="N228">
        <v>82.06</v>
      </c>
      <c r="O228">
        <v>296.14999999999998</v>
      </c>
      <c r="P228">
        <f t="shared" si="16"/>
        <v>1.0287189950781558E-3</v>
      </c>
      <c r="Q228">
        <v>12</v>
      </c>
      <c r="R228">
        <f t="shared" si="17"/>
        <v>28016.821872957273</v>
      </c>
      <c r="S228">
        <f t="shared" si="18"/>
        <v>155.64901040531819</v>
      </c>
      <c r="T228">
        <f t="shared" si="19"/>
        <v>11206.72874918291</v>
      </c>
    </row>
    <row r="229" spans="1:20" x14ac:dyDescent="0.25">
      <c r="A229" s="1">
        <v>67</v>
      </c>
      <c r="B229" t="s">
        <v>37</v>
      </c>
      <c r="C229" t="s">
        <v>8</v>
      </c>
      <c r="D229" t="s">
        <v>11</v>
      </c>
      <c r="E229">
        <v>97.683333333333337</v>
      </c>
      <c r="F229">
        <v>180</v>
      </c>
      <c r="G229">
        <v>2036.4571981355648</v>
      </c>
      <c r="H229">
        <v>2036.4571981355962</v>
      </c>
      <c r="I229">
        <f t="shared" si="15"/>
        <v>6109371.5944067882</v>
      </c>
      <c r="J229">
        <v>0.99856665430673341</v>
      </c>
      <c r="K229">
        <v>25</v>
      </c>
      <c r="L229">
        <v>1</v>
      </c>
      <c r="M229">
        <v>3000</v>
      </c>
      <c r="N229">
        <v>82.06</v>
      </c>
      <c r="O229">
        <v>296.14999999999998</v>
      </c>
      <c r="P229">
        <f t="shared" si="16"/>
        <v>1.0287189950781558E-3</v>
      </c>
      <c r="Q229">
        <v>12</v>
      </c>
      <c r="R229">
        <f t="shared" si="17"/>
        <v>75417.919285886179</v>
      </c>
      <c r="S229">
        <f t="shared" si="18"/>
        <v>418.98844047714545</v>
      </c>
      <c r="T229">
        <f t="shared" si="19"/>
        <v>30167.167714354473</v>
      </c>
    </row>
    <row r="230" spans="1:20" x14ac:dyDescent="0.25">
      <c r="A230" s="1">
        <v>68</v>
      </c>
      <c r="B230" t="s">
        <v>37</v>
      </c>
      <c r="C230" t="s">
        <v>9</v>
      </c>
      <c r="D230" t="s">
        <v>11</v>
      </c>
      <c r="E230">
        <v>97.7</v>
      </c>
      <c r="F230">
        <v>180</v>
      </c>
      <c r="G230">
        <v>2938.1525431641548</v>
      </c>
      <c r="H230">
        <v>2938.1525431642367</v>
      </c>
      <c r="I230">
        <f t="shared" si="15"/>
        <v>8814457.6294927094</v>
      </c>
      <c r="J230">
        <v>0.99956238026407751</v>
      </c>
      <c r="K230">
        <v>25</v>
      </c>
      <c r="L230">
        <v>1</v>
      </c>
      <c r="M230">
        <v>3000</v>
      </c>
      <c r="N230">
        <v>82.06</v>
      </c>
      <c r="O230">
        <v>296.14999999999998</v>
      </c>
      <c r="P230">
        <f t="shared" si="16"/>
        <v>1.0287189950781558E-3</v>
      </c>
      <c r="Q230">
        <v>12</v>
      </c>
      <c r="R230">
        <f t="shared" si="17"/>
        <v>108811.19993724868</v>
      </c>
      <c r="S230">
        <f t="shared" si="18"/>
        <v>604.50666631804825</v>
      </c>
      <c r="T230">
        <f t="shared" si="19"/>
        <v>43524.47997489947</v>
      </c>
    </row>
    <row r="231" spans="1:20" x14ac:dyDescent="0.25">
      <c r="A231" s="1">
        <v>69</v>
      </c>
      <c r="B231" t="s">
        <v>37</v>
      </c>
      <c r="C231" t="s">
        <v>9</v>
      </c>
      <c r="D231" t="s">
        <v>11</v>
      </c>
      <c r="E231">
        <v>97.7</v>
      </c>
      <c r="F231">
        <v>180</v>
      </c>
      <c r="G231">
        <v>1479.834652125955</v>
      </c>
      <c r="H231">
        <v>1479.8346521260021</v>
      </c>
      <c r="I231">
        <f t="shared" si="15"/>
        <v>4439503.9563780064</v>
      </c>
      <c r="J231">
        <v>0.96197653340920264</v>
      </c>
      <c r="K231">
        <v>25</v>
      </c>
      <c r="L231">
        <v>1</v>
      </c>
      <c r="M231">
        <v>3000</v>
      </c>
      <c r="N231">
        <v>82.06</v>
      </c>
      <c r="O231">
        <v>296.14999999999998</v>
      </c>
      <c r="P231">
        <f t="shared" si="16"/>
        <v>1.0287189950781558E-3</v>
      </c>
      <c r="Q231">
        <v>12</v>
      </c>
      <c r="R231">
        <f t="shared" si="17"/>
        <v>54804.024583808154</v>
      </c>
      <c r="S231">
        <f t="shared" si="18"/>
        <v>304.46680324337865</v>
      </c>
      <c r="T231">
        <f t="shared" si="19"/>
        <v>21921.609833523264</v>
      </c>
    </row>
    <row r="232" spans="1:20" x14ac:dyDescent="0.25">
      <c r="A232" s="1">
        <v>70</v>
      </c>
      <c r="B232" t="s">
        <v>37</v>
      </c>
      <c r="C232" t="s">
        <v>9</v>
      </c>
      <c r="D232" t="s">
        <v>11</v>
      </c>
      <c r="E232">
        <v>97.716666666666669</v>
      </c>
      <c r="F232">
        <v>180</v>
      </c>
      <c r="G232">
        <v>2712.50444030571</v>
      </c>
      <c r="H232">
        <v>2712.5044403057209</v>
      </c>
      <c r="I232">
        <f t="shared" si="15"/>
        <v>8137513.320917163</v>
      </c>
      <c r="J232">
        <v>0.99998605087805603</v>
      </c>
      <c r="K232">
        <v>25</v>
      </c>
      <c r="L232">
        <v>1</v>
      </c>
      <c r="M232">
        <v>3000</v>
      </c>
      <c r="N232">
        <v>82.06</v>
      </c>
      <c r="O232">
        <v>296.14999999999998</v>
      </c>
      <c r="P232">
        <f t="shared" si="16"/>
        <v>1.0287189950781558E-3</v>
      </c>
      <c r="Q232">
        <v>12</v>
      </c>
      <c r="R232">
        <f t="shared" si="17"/>
        <v>100454.57431114813</v>
      </c>
      <c r="S232">
        <f t="shared" si="18"/>
        <v>558.0809683952674</v>
      </c>
      <c r="T232">
        <f t="shared" si="19"/>
        <v>40181.829724459254</v>
      </c>
    </row>
    <row r="233" spans="1:20" x14ac:dyDescent="0.25">
      <c r="A233" s="1">
        <v>71</v>
      </c>
      <c r="B233" t="s">
        <v>37</v>
      </c>
      <c r="C233" t="s">
        <v>9</v>
      </c>
      <c r="D233" t="s">
        <v>11</v>
      </c>
      <c r="E233">
        <v>97.716666666666669</v>
      </c>
      <c r="F233">
        <v>180</v>
      </c>
      <c r="G233">
        <v>887.66467316371518</v>
      </c>
      <c r="H233">
        <v>887.66467316371859</v>
      </c>
      <c r="I233">
        <f t="shared" si="15"/>
        <v>2662994.0194911556</v>
      </c>
      <c r="J233">
        <v>0.99974795054503873</v>
      </c>
      <c r="K233">
        <v>25</v>
      </c>
      <c r="L233">
        <v>1</v>
      </c>
      <c r="M233">
        <v>3000</v>
      </c>
      <c r="N233">
        <v>82.06</v>
      </c>
      <c r="O233">
        <v>296.14999999999998</v>
      </c>
      <c r="P233">
        <f t="shared" si="16"/>
        <v>1.0287189950781558E-3</v>
      </c>
      <c r="Q233">
        <v>12</v>
      </c>
      <c r="R233">
        <f t="shared" si="17"/>
        <v>32873.670379560965</v>
      </c>
      <c r="S233">
        <f t="shared" si="18"/>
        <v>182.63150210867204</v>
      </c>
      <c r="T233">
        <f t="shared" si="19"/>
        <v>13149.468151824387</v>
      </c>
    </row>
    <row r="234" spans="1:20" x14ac:dyDescent="0.25">
      <c r="A234" s="1">
        <v>64</v>
      </c>
      <c r="B234" t="s">
        <v>37</v>
      </c>
      <c r="C234" t="s">
        <v>8</v>
      </c>
      <c r="D234" t="s">
        <v>12</v>
      </c>
      <c r="E234">
        <v>167.45</v>
      </c>
      <c r="F234">
        <v>180</v>
      </c>
      <c r="G234">
        <v>633.59322478631009</v>
      </c>
      <c r="H234">
        <v>633.59322478633567</v>
      </c>
      <c r="I234">
        <f t="shared" si="15"/>
        <v>1900779.674359007</v>
      </c>
      <c r="J234">
        <v>0.99985465623452741</v>
      </c>
      <c r="K234">
        <v>25</v>
      </c>
      <c r="L234">
        <v>1</v>
      </c>
      <c r="M234">
        <v>3000</v>
      </c>
      <c r="N234">
        <v>82.06</v>
      </c>
      <c r="O234">
        <v>296.14999999999998</v>
      </c>
      <c r="P234">
        <f t="shared" si="16"/>
        <v>1.0287189950781558E-3</v>
      </c>
      <c r="Q234">
        <v>12</v>
      </c>
      <c r="R234">
        <f t="shared" si="17"/>
        <v>23464.417877658983</v>
      </c>
      <c r="S234">
        <f t="shared" si="18"/>
        <v>130.35787709810546</v>
      </c>
      <c r="T234">
        <f t="shared" si="19"/>
        <v>9385.7671510635937</v>
      </c>
    </row>
    <row r="235" spans="1:20" x14ac:dyDescent="0.25">
      <c r="A235" s="1">
        <v>65</v>
      </c>
      <c r="B235" t="s">
        <v>37</v>
      </c>
      <c r="C235" t="s">
        <v>8</v>
      </c>
      <c r="D235" t="s">
        <v>12</v>
      </c>
      <c r="E235">
        <v>167.45</v>
      </c>
      <c r="F235">
        <v>180</v>
      </c>
      <c r="G235">
        <v>1014.016151681055</v>
      </c>
      <c r="H235">
        <v>1014.0161516810954</v>
      </c>
      <c r="I235">
        <f t="shared" si="15"/>
        <v>3042048.4550432861</v>
      </c>
      <c r="J235">
        <v>0.9994193318532596</v>
      </c>
      <c r="K235">
        <v>25</v>
      </c>
      <c r="L235">
        <v>1</v>
      </c>
      <c r="M235">
        <v>3000</v>
      </c>
      <c r="N235">
        <v>82.06</v>
      </c>
      <c r="O235">
        <v>296.14999999999998</v>
      </c>
      <c r="P235">
        <f t="shared" si="16"/>
        <v>1.0287189950781558E-3</v>
      </c>
      <c r="Q235">
        <v>12</v>
      </c>
      <c r="R235">
        <f t="shared" si="17"/>
        <v>37552.956355814225</v>
      </c>
      <c r="S235">
        <f t="shared" si="18"/>
        <v>208.62753531007903</v>
      </c>
      <c r="T235">
        <f t="shared" si="19"/>
        <v>15021.182542325691</v>
      </c>
    </row>
    <row r="236" spans="1:20" x14ac:dyDescent="0.25">
      <c r="A236" s="1">
        <v>66</v>
      </c>
      <c r="B236" t="s">
        <v>37</v>
      </c>
      <c r="C236" t="s">
        <v>8</v>
      </c>
      <c r="D236" t="s">
        <v>12</v>
      </c>
      <c r="E236">
        <v>167.46666666666667</v>
      </c>
      <c r="F236">
        <v>180</v>
      </c>
      <c r="G236">
        <v>595.01405082917313</v>
      </c>
      <c r="H236">
        <v>595.01405082918257</v>
      </c>
      <c r="I236">
        <f t="shared" si="15"/>
        <v>1785042.1524875476</v>
      </c>
      <c r="J236">
        <v>0.99992861035305691</v>
      </c>
      <c r="K236">
        <v>25</v>
      </c>
      <c r="L236">
        <v>1</v>
      </c>
      <c r="M236">
        <v>3000</v>
      </c>
      <c r="N236">
        <v>82.06</v>
      </c>
      <c r="O236">
        <v>296.14999999999998</v>
      </c>
      <c r="P236">
        <f t="shared" si="16"/>
        <v>1.0287189950781558E-3</v>
      </c>
      <c r="Q236">
        <v>12</v>
      </c>
      <c r="R236">
        <f t="shared" si="17"/>
        <v>22035.681231349656</v>
      </c>
      <c r="S236">
        <f t="shared" si="18"/>
        <v>122.42045128527586</v>
      </c>
      <c r="T236">
        <f t="shared" si="19"/>
        <v>8814.2724925398616</v>
      </c>
    </row>
    <row r="237" spans="1:20" x14ac:dyDescent="0.25">
      <c r="A237" s="1">
        <v>67</v>
      </c>
      <c r="B237" t="s">
        <v>37</v>
      </c>
      <c r="C237" t="s">
        <v>8</v>
      </c>
      <c r="D237" t="s">
        <v>12</v>
      </c>
      <c r="E237">
        <v>167.46666666666667</v>
      </c>
      <c r="F237">
        <v>180</v>
      </c>
      <c r="G237">
        <v>1112.7171329555699</v>
      </c>
      <c r="H237">
        <v>1112.7171329555872</v>
      </c>
      <c r="I237">
        <f t="shared" si="15"/>
        <v>3338151.3988667615</v>
      </c>
      <c r="J237">
        <v>0.99916474512360376</v>
      </c>
      <c r="K237">
        <v>25</v>
      </c>
      <c r="L237">
        <v>1</v>
      </c>
      <c r="M237">
        <v>3000</v>
      </c>
      <c r="N237">
        <v>82.06</v>
      </c>
      <c r="O237">
        <v>296.14999999999998</v>
      </c>
      <c r="P237">
        <f t="shared" si="16"/>
        <v>1.0287189950781558E-3</v>
      </c>
      <c r="Q237">
        <v>12</v>
      </c>
      <c r="R237">
        <f t="shared" si="17"/>
        <v>41208.237029531461</v>
      </c>
      <c r="S237">
        <f t="shared" si="18"/>
        <v>228.93465016406367</v>
      </c>
      <c r="T237">
        <f t="shared" si="19"/>
        <v>16483.294811812586</v>
      </c>
    </row>
    <row r="238" spans="1:20" x14ac:dyDescent="0.25">
      <c r="A238" s="1">
        <v>68</v>
      </c>
      <c r="B238" t="s">
        <v>37</v>
      </c>
      <c r="C238" t="s">
        <v>9</v>
      </c>
      <c r="D238" t="s">
        <v>12</v>
      </c>
      <c r="E238">
        <v>167.48333333333332</v>
      </c>
      <c r="F238">
        <v>180</v>
      </c>
      <c r="G238">
        <v>1094.154569711995</v>
      </c>
      <c r="H238">
        <v>1094.1545697120118</v>
      </c>
      <c r="I238">
        <f t="shared" si="15"/>
        <v>3282463.7091360353</v>
      </c>
      <c r="J238">
        <v>0.99886823093275479</v>
      </c>
      <c r="K238">
        <v>25</v>
      </c>
      <c r="L238">
        <v>1</v>
      </c>
      <c r="M238">
        <v>3000</v>
      </c>
      <c r="N238">
        <v>82.06</v>
      </c>
      <c r="O238">
        <v>296.14999999999998</v>
      </c>
      <c r="P238">
        <f t="shared" si="16"/>
        <v>1.0287189950781558E-3</v>
      </c>
      <c r="Q238">
        <v>12</v>
      </c>
      <c r="R238">
        <f t="shared" si="17"/>
        <v>40520.793218915256</v>
      </c>
      <c r="S238">
        <f t="shared" si="18"/>
        <v>225.11551788286255</v>
      </c>
      <c r="T238">
        <f t="shared" si="19"/>
        <v>16208.317287566104</v>
      </c>
    </row>
    <row r="239" spans="1:20" x14ac:dyDescent="0.25">
      <c r="A239" s="1">
        <v>69</v>
      </c>
      <c r="B239" t="s">
        <v>37</v>
      </c>
      <c r="C239" t="s">
        <v>9</v>
      </c>
      <c r="D239" t="s">
        <v>12</v>
      </c>
      <c r="E239">
        <v>167.48333333333332</v>
      </c>
      <c r="F239">
        <v>180</v>
      </c>
      <c r="G239">
        <v>1121.997463545875</v>
      </c>
      <c r="H239">
        <v>1121.9974635458927</v>
      </c>
      <c r="I239">
        <f t="shared" si="15"/>
        <v>3365992.3906376781</v>
      </c>
      <c r="J239">
        <v>0.99996218444313067</v>
      </c>
      <c r="K239">
        <v>25</v>
      </c>
      <c r="L239">
        <v>1</v>
      </c>
      <c r="M239">
        <v>3000</v>
      </c>
      <c r="N239">
        <v>82.06</v>
      </c>
      <c r="O239">
        <v>296.14999999999998</v>
      </c>
      <c r="P239">
        <f t="shared" si="16"/>
        <v>1.0287189950781558E-3</v>
      </c>
      <c r="Q239">
        <v>12</v>
      </c>
      <c r="R239">
        <f t="shared" si="17"/>
        <v>41551.923714450139</v>
      </c>
      <c r="S239">
        <f t="shared" si="18"/>
        <v>230.84402063583411</v>
      </c>
      <c r="T239">
        <f t="shared" si="19"/>
        <v>16620.769485780056</v>
      </c>
    </row>
    <row r="240" spans="1:20" x14ac:dyDescent="0.25">
      <c r="A240" s="1">
        <v>70</v>
      </c>
      <c r="B240" t="s">
        <v>37</v>
      </c>
      <c r="C240" t="s">
        <v>9</v>
      </c>
      <c r="D240" t="s">
        <v>12</v>
      </c>
      <c r="E240">
        <v>167.5</v>
      </c>
      <c r="F240">
        <v>180</v>
      </c>
      <c r="G240">
        <v>1002.37673419035</v>
      </c>
      <c r="H240">
        <v>1002.3767341903909</v>
      </c>
      <c r="I240">
        <f t="shared" si="15"/>
        <v>3007130.2025711727</v>
      </c>
      <c r="J240">
        <v>0.99977346724033556</v>
      </c>
      <c r="K240">
        <v>25</v>
      </c>
      <c r="L240">
        <v>1</v>
      </c>
      <c r="M240">
        <v>3000</v>
      </c>
      <c r="N240">
        <v>82.06</v>
      </c>
      <c r="O240">
        <v>296.14999999999998</v>
      </c>
      <c r="P240">
        <f t="shared" si="16"/>
        <v>1.0287189950781558E-3</v>
      </c>
      <c r="Q240">
        <v>12</v>
      </c>
      <c r="R240">
        <f t="shared" si="17"/>
        <v>37121.903520698252</v>
      </c>
      <c r="S240">
        <f t="shared" si="18"/>
        <v>206.2327973372125</v>
      </c>
      <c r="T240">
        <f t="shared" si="19"/>
        <v>14848.761408279301</v>
      </c>
    </row>
    <row r="241" spans="1:20" x14ac:dyDescent="0.25">
      <c r="A241" s="1">
        <v>71</v>
      </c>
      <c r="B241" t="s">
        <v>37</v>
      </c>
      <c r="C241" t="s">
        <v>9</v>
      </c>
      <c r="D241" t="s">
        <v>12</v>
      </c>
      <c r="E241">
        <v>167.5</v>
      </c>
      <c r="F241">
        <v>180</v>
      </c>
      <c r="G241">
        <v>720.16667503219992</v>
      </c>
      <c r="H241">
        <v>720.16667503222868</v>
      </c>
      <c r="I241">
        <f t="shared" si="15"/>
        <v>2160500.0250966861</v>
      </c>
      <c r="J241">
        <v>0.99998974353402192</v>
      </c>
      <c r="K241">
        <v>25</v>
      </c>
      <c r="L241">
        <v>1</v>
      </c>
      <c r="M241">
        <v>3000</v>
      </c>
      <c r="N241">
        <v>82.06</v>
      </c>
      <c r="O241">
        <v>296.14999999999998</v>
      </c>
      <c r="P241">
        <f t="shared" si="16"/>
        <v>1.0287189950781558E-3</v>
      </c>
      <c r="Q241">
        <v>12</v>
      </c>
      <c r="R241">
        <f t="shared" si="17"/>
        <v>26670.568976205519</v>
      </c>
      <c r="S241">
        <f t="shared" si="18"/>
        <v>148.16982764558622</v>
      </c>
      <c r="T241">
        <f t="shared" si="19"/>
        <v>10668.227590482209</v>
      </c>
    </row>
    <row r="242" spans="1:20" x14ac:dyDescent="0.25">
      <c r="A242" s="1">
        <v>64</v>
      </c>
      <c r="B242" t="s">
        <v>37</v>
      </c>
      <c r="C242" t="s">
        <v>8</v>
      </c>
      <c r="D242" t="s">
        <v>13</v>
      </c>
      <c r="E242">
        <v>239.61666666666667</v>
      </c>
      <c r="F242">
        <v>180</v>
      </c>
      <c r="G242">
        <v>457.03672926387145</v>
      </c>
      <c r="H242">
        <v>457.03672926390112</v>
      </c>
      <c r="I242">
        <f t="shared" si="15"/>
        <v>1371110.1877917033</v>
      </c>
      <c r="J242">
        <v>0.99998499075261027</v>
      </c>
      <c r="K242">
        <v>25</v>
      </c>
      <c r="L242">
        <v>1</v>
      </c>
      <c r="M242">
        <v>3000</v>
      </c>
      <c r="N242">
        <v>82.06</v>
      </c>
      <c r="O242">
        <v>296.14999999999998</v>
      </c>
      <c r="P242">
        <f t="shared" si="16"/>
        <v>1.0287189950781558E-3</v>
      </c>
      <c r="Q242">
        <v>12</v>
      </c>
      <c r="R242">
        <f t="shared" si="17"/>
        <v>16925.845134318031</v>
      </c>
      <c r="S242">
        <f t="shared" si="18"/>
        <v>94.03247296843351</v>
      </c>
      <c r="T242">
        <f t="shared" si="19"/>
        <v>6770.3380537272124</v>
      </c>
    </row>
    <row r="243" spans="1:20" x14ac:dyDescent="0.25">
      <c r="A243" s="1">
        <v>65</v>
      </c>
      <c r="B243" t="s">
        <v>37</v>
      </c>
      <c r="C243" t="s">
        <v>8</v>
      </c>
      <c r="D243" t="s">
        <v>13</v>
      </c>
      <c r="E243">
        <v>239.61666666666667</v>
      </c>
      <c r="F243">
        <v>180</v>
      </c>
      <c r="G243">
        <v>768.35628827900098</v>
      </c>
      <c r="H243">
        <v>768.35628827904304</v>
      </c>
      <c r="I243">
        <f t="shared" si="15"/>
        <v>2305068.8648371291</v>
      </c>
      <c r="J243">
        <v>0.92934817301041006</v>
      </c>
      <c r="K243">
        <v>25</v>
      </c>
      <c r="L243">
        <v>1</v>
      </c>
      <c r="M243">
        <v>3000</v>
      </c>
      <c r="N243">
        <v>82.06</v>
      </c>
      <c r="O243">
        <v>296.14999999999998</v>
      </c>
      <c r="P243">
        <f t="shared" si="16"/>
        <v>1.0287189950781558E-3</v>
      </c>
      <c r="Q243">
        <v>12</v>
      </c>
      <c r="R243">
        <f t="shared" si="17"/>
        <v>28455.217514654363</v>
      </c>
      <c r="S243">
        <f t="shared" si="18"/>
        <v>158.0845417480798</v>
      </c>
      <c r="T243">
        <f t="shared" si="19"/>
        <v>11382.087005861746</v>
      </c>
    </row>
    <row r="244" spans="1:20" x14ac:dyDescent="0.25">
      <c r="A244" s="1">
        <v>66</v>
      </c>
      <c r="B244" t="s">
        <v>37</v>
      </c>
      <c r="C244" t="s">
        <v>8</v>
      </c>
      <c r="D244" t="s">
        <v>13</v>
      </c>
      <c r="E244">
        <v>239.63333333333333</v>
      </c>
      <c r="F244">
        <v>180</v>
      </c>
      <c r="G244">
        <v>467.05456347399246</v>
      </c>
      <c r="H244">
        <v>467.0545634740111</v>
      </c>
      <c r="I244">
        <f t="shared" si="15"/>
        <v>1401163.6904220334</v>
      </c>
      <c r="J244">
        <v>0.99979308251243881</v>
      </c>
      <c r="K244">
        <v>25</v>
      </c>
      <c r="L244">
        <v>1</v>
      </c>
      <c r="M244">
        <v>3000</v>
      </c>
      <c r="N244">
        <v>82.06</v>
      </c>
      <c r="O244">
        <v>296.14999999999998</v>
      </c>
      <c r="P244">
        <f t="shared" si="16"/>
        <v>1.0287189950781558E-3</v>
      </c>
      <c r="Q244">
        <v>12</v>
      </c>
      <c r="R244">
        <f t="shared" si="17"/>
        <v>17296.844442611455</v>
      </c>
      <c r="S244">
        <f t="shared" si="18"/>
        <v>96.093580236730304</v>
      </c>
      <c r="T244">
        <f t="shared" si="19"/>
        <v>6918.7377770445819</v>
      </c>
    </row>
    <row r="245" spans="1:20" x14ac:dyDescent="0.25">
      <c r="A245" s="1">
        <v>67</v>
      </c>
      <c r="B245" t="s">
        <v>37</v>
      </c>
      <c r="C245" t="s">
        <v>8</v>
      </c>
      <c r="D245" t="s">
        <v>13</v>
      </c>
      <c r="E245">
        <v>239.63333333333333</v>
      </c>
      <c r="F245">
        <v>180</v>
      </c>
      <c r="G245">
        <v>536.42487804684902</v>
      </c>
      <c r="H245">
        <v>536.42487804687073</v>
      </c>
      <c r="I245">
        <f t="shared" si="15"/>
        <v>1609274.6341406121</v>
      </c>
      <c r="J245">
        <v>0.99999948581763864</v>
      </c>
      <c r="K245">
        <v>25</v>
      </c>
      <c r="L245">
        <v>1</v>
      </c>
      <c r="M245">
        <v>3000</v>
      </c>
      <c r="N245">
        <v>82.06</v>
      </c>
      <c r="O245">
        <v>296.14999999999998</v>
      </c>
      <c r="P245">
        <f t="shared" si="16"/>
        <v>1.0287189950781558E-3</v>
      </c>
      <c r="Q245">
        <v>12</v>
      </c>
      <c r="R245">
        <f t="shared" si="17"/>
        <v>19865.896613254768</v>
      </c>
      <c r="S245">
        <f t="shared" si="18"/>
        <v>110.36609229585983</v>
      </c>
      <c r="T245">
        <f t="shared" si="19"/>
        <v>7946.3586453019079</v>
      </c>
    </row>
    <row r="246" spans="1:20" x14ac:dyDescent="0.25">
      <c r="A246" s="1">
        <v>68</v>
      </c>
      <c r="B246" t="s">
        <v>37</v>
      </c>
      <c r="C246" t="s">
        <v>9</v>
      </c>
      <c r="D246" t="s">
        <v>13</v>
      </c>
      <c r="E246">
        <v>239.65</v>
      </c>
      <c r="F246">
        <v>180</v>
      </c>
      <c r="G246">
        <v>327.99711804879757</v>
      </c>
      <c r="H246">
        <v>327.99711804881883</v>
      </c>
      <c r="I246">
        <f t="shared" si="15"/>
        <v>983991.35414645646</v>
      </c>
      <c r="J246">
        <v>0.99998307158938993</v>
      </c>
      <c r="K246">
        <v>25</v>
      </c>
      <c r="L246">
        <v>1</v>
      </c>
      <c r="M246">
        <v>3000</v>
      </c>
      <c r="N246">
        <v>82.06</v>
      </c>
      <c r="O246">
        <v>296.14999999999998</v>
      </c>
      <c r="P246">
        <f t="shared" si="16"/>
        <v>1.0287189950781558E-3</v>
      </c>
      <c r="Q246">
        <v>12</v>
      </c>
      <c r="R246">
        <f t="shared" si="17"/>
        <v>12147.007164037637</v>
      </c>
      <c r="S246">
        <f t="shared" si="18"/>
        <v>67.483373133542429</v>
      </c>
      <c r="T246">
        <f t="shared" si="19"/>
        <v>4858.8028656150545</v>
      </c>
    </row>
    <row r="247" spans="1:20" x14ac:dyDescent="0.25">
      <c r="A247" s="1">
        <v>69</v>
      </c>
      <c r="B247" t="s">
        <v>37</v>
      </c>
      <c r="C247" t="s">
        <v>9</v>
      </c>
      <c r="D247" t="s">
        <v>13</v>
      </c>
      <c r="E247">
        <v>239.65</v>
      </c>
      <c r="F247">
        <v>180</v>
      </c>
      <c r="G247">
        <v>778.49675617004152</v>
      </c>
      <c r="H247">
        <v>778.49675617009302</v>
      </c>
      <c r="I247">
        <f t="shared" si="15"/>
        <v>2335490.2685102792</v>
      </c>
      <c r="J247">
        <v>0.99917356642250188</v>
      </c>
      <c r="K247">
        <v>25</v>
      </c>
      <c r="L247">
        <v>1</v>
      </c>
      <c r="M247">
        <v>3000</v>
      </c>
      <c r="N247">
        <v>82.06</v>
      </c>
      <c r="O247">
        <v>296.14999999999998</v>
      </c>
      <c r="P247">
        <f t="shared" si="16"/>
        <v>1.0287189950781558E-3</v>
      </c>
      <c r="Q247">
        <v>12</v>
      </c>
      <c r="R247">
        <f t="shared" si="17"/>
        <v>28830.758424440482</v>
      </c>
      <c r="S247">
        <f t="shared" si="18"/>
        <v>160.17088013578046</v>
      </c>
      <c r="T247">
        <f t="shared" si="19"/>
        <v>11532.303369776193</v>
      </c>
    </row>
    <row r="248" spans="1:20" x14ac:dyDescent="0.25">
      <c r="A248" s="1">
        <v>70</v>
      </c>
      <c r="B248" t="s">
        <v>37</v>
      </c>
      <c r="C248" t="s">
        <v>9</v>
      </c>
      <c r="D248" t="s">
        <v>13</v>
      </c>
      <c r="E248">
        <v>239.66666666666666</v>
      </c>
      <c r="F248">
        <v>180</v>
      </c>
      <c r="G248">
        <v>348.69553271357506</v>
      </c>
      <c r="H248">
        <v>348.69553271359752</v>
      </c>
      <c r="I248">
        <f t="shared" si="15"/>
        <v>1046086.5981407926</v>
      </c>
      <c r="J248">
        <v>0.99966967546713481</v>
      </c>
      <c r="K248">
        <v>25</v>
      </c>
      <c r="L248">
        <v>1</v>
      </c>
      <c r="M248">
        <v>3000</v>
      </c>
      <c r="N248">
        <v>82.06</v>
      </c>
      <c r="O248">
        <v>296.14999999999998</v>
      </c>
      <c r="P248">
        <f t="shared" si="16"/>
        <v>1.0287189950781558E-3</v>
      </c>
      <c r="Q248">
        <v>12</v>
      </c>
      <c r="R248">
        <f t="shared" si="17"/>
        <v>12913.549848049473</v>
      </c>
      <c r="S248">
        <f t="shared" si="18"/>
        <v>71.741943600274851</v>
      </c>
      <c r="T248">
        <f t="shared" si="19"/>
        <v>5165.4199392197897</v>
      </c>
    </row>
    <row r="249" spans="1:20" x14ac:dyDescent="0.25">
      <c r="A249" s="1">
        <v>71</v>
      </c>
      <c r="B249" t="s">
        <v>37</v>
      </c>
      <c r="C249" t="s">
        <v>9</v>
      </c>
      <c r="D249" t="s">
        <v>13</v>
      </c>
      <c r="E249">
        <v>239.66666666666666</v>
      </c>
      <c r="F249">
        <v>180</v>
      </c>
      <c r="G249">
        <v>616.38269916160107</v>
      </c>
      <c r="H249">
        <v>616.38269916164199</v>
      </c>
      <c r="I249">
        <f t="shared" si="15"/>
        <v>1849148.097484926</v>
      </c>
      <c r="J249">
        <v>0.99877366020538672</v>
      </c>
      <c r="K249">
        <v>25</v>
      </c>
      <c r="L249">
        <v>1</v>
      </c>
      <c r="M249">
        <v>3000</v>
      </c>
      <c r="N249">
        <v>82.06</v>
      </c>
      <c r="O249">
        <v>296.14999999999998</v>
      </c>
      <c r="P249">
        <f t="shared" si="16"/>
        <v>1.0287189950781558E-3</v>
      </c>
      <c r="Q249">
        <v>12</v>
      </c>
      <c r="R249">
        <f t="shared" si="17"/>
        <v>22827.045271144521</v>
      </c>
      <c r="S249">
        <f t="shared" si="18"/>
        <v>126.81691817302512</v>
      </c>
      <c r="T249">
        <f t="shared" si="19"/>
        <v>9130.8181084578082</v>
      </c>
    </row>
    <row r="250" spans="1:20" x14ac:dyDescent="0.25">
      <c r="A250" s="1">
        <v>64</v>
      </c>
      <c r="B250" t="s">
        <v>37</v>
      </c>
      <c r="C250" t="s">
        <v>8</v>
      </c>
      <c r="D250" t="s">
        <v>14</v>
      </c>
      <c r="E250">
        <v>335.28333333333336</v>
      </c>
      <c r="F250">
        <v>180</v>
      </c>
      <c r="G250">
        <v>397.61364091115951</v>
      </c>
      <c r="H250">
        <v>397.61364091118446</v>
      </c>
      <c r="I250">
        <f t="shared" si="15"/>
        <v>1192840.9227335535</v>
      </c>
      <c r="J250">
        <v>0.99676531487426423</v>
      </c>
      <c r="K250">
        <v>25</v>
      </c>
      <c r="L250">
        <v>1</v>
      </c>
      <c r="M250">
        <v>3000</v>
      </c>
      <c r="N250">
        <v>82.06</v>
      </c>
      <c r="O250">
        <v>296.14999999999998</v>
      </c>
      <c r="P250">
        <f t="shared" si="16"/>
        <v>1.0287189950781558E-3</v>
      </c>
      <c r="Q250">
        <v>12</v>
      </c>
      <c r="R250">
        <f t="shared" si="17"/>
        <v>14725.177383870734</v>
      </c>
      <c r="S250">
        <f t="shared" si="18"/>
        <v>81.806541021504074</v>
      </c>
      <c r="T250">
        <f t="shared" si="19"/>
        <v>5890.0709535482929</v>
      </c>
    </row>
    <row r="251" spans="1:20" x14ac:dyDescent="0.25">
      <c r="A251" s="1">
        <v>65</v>
      </c>
      <c r="B251" t="s">
        <v>37</v>
      </c>
      <c r="C251" t="s">
        <v>8</v>
      </c>
      <c r="D251" t="s">
        <v>14</v>
      </c>
      <c r="E251">
        <v>335.28333333333336</v>
      </c>
      <c r="F251">
        <v>180</v>
      </c>
      <c r="G251">
        <v>266.09571826231803</v>
      </c>
      <c r="H251">
        <v>266.09571826233559</v>
      </c>
      <c r="I251">
        <f t="shared" si="15"/>
        <v>798287.15478700679</v>
      </c>
      <c r="J251">
        <v>0.99974219119534213</v>
      </c>
      <c r="K251">
        <v>25</v>
      </c>
      <c r="L251">
        <v>1</v>
      </c>
      <c r="M251">
        <v>3000</v>
      </c>
      <c r="N251">
        <v>82.06</v>
      </c>
      <c r="O251">
        <v>296.14999999999998</v>
      </c>
      <c r="P251">
        <f t="shared" si="16"/>
        <v>1.0287189950781558E-3</v>
      </c>
      <c r="Q251">
        <v>12</v>
      </c>
      <c r="R251">
        <f t="shared" si="17"/>
        <v>9854.5579158754772</v>
      </c>
      <c r="S251">
        <f t="shared" si="18"/>
        <v>54.747543977085982</v>
      </c>
      <c r="T251">
        <f t="shared" si="19"/>
        <v>3941.8231663501906</v>
      </c>
    </row>
    <row r="252" spans="1:20" x14ac:dyDescent="0.25">
      <c r="A252" s="1">
        <v>66</v>
      </c>
      <c r="B252" t="s">
        <v>37</v>
      </c>
      <c r="C252" t="s">
        <v>8</v>
      </c>
      <c r="D252" t="s">
        <v>14</v>
      </c>
      <c r="E252">
        <v>335.3</v>
      </c>
      <c r="F252">
        <v>180</v>
      </c>
      <c r="G252">
        <v>370.71734786808253</v>
      </c>
      <c r="H252">
        <v>370.71734786812277</v>
      </c>
      <c r="I252">
        <f t="shared" si="15"/>
        <v>1112152.0436043683</v>
      </c>
      <c r="J252">
        <v>0.992597598641764</v>
      </c>
      <c r="K252">
        <v>25</v>
      </c>
      <c r="L252">
        <v>1</v>
      </c>
      <c r="M252">
        <v>3000</v>
      </c>
      <c r="N252">
        <v>82.06</v>
      </c>
      <c r="O252">
        <v>296.14999999999998</v>
      </c>
      <c r="P252">
        <f t="shared" si="16"/>
        <v>1.0287189950781558E-3</v>
      </c>
      <c r="Q252">
        <v>12</v>
      </c>
      <c r="R252">
        <f t="shared" si="17"/>
        <v>13729.103192049637</v>
      </c>
      <c r="S252">
        <f t="shared" si="18"/>
        <v>76.272795511386875</v>
      </c>
      <c r="T252">
        <f t="shared" si="19"/>
        <v>5491.6412768198552</v>
      </c>
    </row>
    <row r="253" spans="1:20" x14ac:dyDescent="0.25">
      <c r="A253" s="1">
        <v>67</v>
      </c>
      <c r="B253" t="s">
        <v>37</v>
      </c>
      <c r="C253" t="s">
        <v>8</v>
      </c>
      <c r="D253" t="s">
        <v>14</v>
      </c>
      <c r="E253">
        <v>335.3</v>
      </c>
      <c r="F253">
        <v>180</v>
      </c>
      <c r="G253">
        <v>332.57296823023046</v>
      </c>
      <c r="H253">
        <v>332.57296823026746</v>
      </c>
      <c r="I253">
        <f t="shared" si="15"/>
        <v>997718.90469080245</v>
      </c>
      <c r="J253">
        <v>0.99842742312410926</v>
      </c>
      <c r="K253">
        <v>25</v>
      </c>
      <c r="L253">
        <v>1</v>
      </c>
      <c r="M253">
        <v>3000</v>
      </c>
      <c r="N253">
        <v>82.06</v>
      </c>
      <c r="O253">
        <v>296.14999999999998</v>
      </c>
      <c r="P253">
        <f t="shared" si="16"/>
        <v>1.0287189950781558E-3</v>
      </c>
      <c r="Q253">
        <v>12</v>
      </c>
      <c r="R253">
        <f t="shared" si="17"/>
        <v>12316.468668048008</v>
      </c>
      <c r="S253">
        <f t="shared" si="18"/>
        <v>68.424825933600047</v>
      </c>
      <c r="T253">
        <f t="shared" si="19"/>
        <v>4926.5874672192031</v>
      </c>
    </row>
    <row r="254" spans="1:20" x14ac:dyDescent="0.25">
      <c r="A254" s="1">
        <v>68</v>
      </c>
      <c r="B254" t="s">
        <v>37</v>
      </c>
      <c r="C254" t="s">
        <v>9</v>
      </c>
      <c r="D254" t="s">
        <v>14</v>
      </c>
      <c r="E254">
        <v>335.31666666666666</v>
      </c>
      <c r="F254">
        <v>180</v>
      </c>
      <c r="G254">
        <v>80.550895959243519</v>
      </c>
      <c r="H254">
        <v>80.550895959248635</v>
      </c>
      <c r="I254">
        <f t="shared" si="15"/>
        <v>241652.68787774589</v>
      </c>
      <c r="J254">
        <v>0.99996514554166682</v>
      </c>
      <c r="K254">
        <v>25</v>
      </c>
      <c r="L254">
        <v>1</v>
      </c>
      <c r="M254">
        <v>3000</v>
      </c>
      <c r="N254">
        <v>82.06</v>
      </c>
      <c r="O254">
        <v>296.14999999999998</v>
      </c>
      <c r="P254">
        <f t="shared" si="16"/>
        <v>1.0287189950781558E-3</v>
      </c>
      <c r="Q254">
        <v>12</v>
      </c>
      <c r="R254">
        <f t="shared" si="17"/>
        <v>2983.11252277836</v>
      </c>
      <c r="S254">
        <f t="shared" si="18"/>
        <v>16.572847348768668</v>
      </c>
      <c r="T254">
        <f t="shared" si="19"/>
        <v>1193.2450091113442</v>
      </c>
    </row>
    <row r="255" spans="1:20" x14ac:dyDescent="0.25">
      <c r="A255" s="1">
        <v>69</v>
      </c>
      <c r="B255" t="s">
        <v>37</v>
      </c>
      <c r="C255" t="s">
        <v>9</v>
      </c>
      <c r="D255" t="s">
        <v>14</v>
      </c>
      <c r="E255">
        <v>335.31666666666666</v>
      </c>
      <c r="F255">
        <v>180</v>
      </c>
      <c r="G255">
        <v>690.23677638272193</v>
      </c>
      <c r="H255">
        <v>690.2367763827649</v>
      </c>
      <c r="I255">
        <f t="shared" si="15"/>
        <v>2070710.3291482946</v>
      </c>
      <c r="J255">
        <v>0.99519310541760553</v>
      </c>
      <c r="K255">
        <v>25</v>
      </c>
      <c r="L255">
        <v>1</v>
      </c>
      <c r="M255">
        <v>3000</v>
      </c>
      <c r="N255">
        <v>82.06</v>
      </c>
      <c r="O255">
        <v>296.14999999999998</v>
      </c>
      <c r="P255">
        <f t="shared" si="16"/>
        <v>1.0287189950781558E-3</v>
      </c>
      <c r="Q255">
        <v>12</v>
      </c>
      <c r="R255">
        <f t="shared" si="17"/>
        <v>25562.148586792689</v>
      </c>
      <c r="S255">
        <f t="shared" si="18"/>
        <v>142.01193659329272</v>
      </c>
      <c r="T255">
        <f t="shared" si="19"/>
        <v>10224.859434717077</v>
      </c>
    </row>
    <row r="256" spans="1:20" x14ac:dyDescent="0.25">
      <c r="A256" s="1">
        <v>70</v>
      </c>
      <c r="B256" t="s">
        <v>37</v>
      </c>
      <c r="C256" t="s">
        <v>9</v>
      </c>
      <c r="D256" t="s">
        <v>14</v>
      </c>
      <c r="E256">
        <v>335.33333333333331</v>
      </c>
      <c r="F256">
        <v>180</v>
      </c>
      <c r="G256">
        <v>96.764857428475466</v>
      </c>
      <c r="H256">
        <v>96.764857428481037</v>
      </c>
      <c r="I256">
        <f t="shared" si="15"/>
        <v>290294.57228544314</v>
      </c>
      <c r="J256">
        <v>0.97613993953539169</v>
      </c>
      <c r="K256">
        <v>25</v>
      </c>
      <c r="L256">
        <v>1</v>
      </c>
      <c r="M256">
        <v>3000</v>
      </c>
      <c r="N256">
        <v>82.06</v>
      </c>
      <c r="O256">
        <v>296.14999999999998</v>
      </c>
      <c r="P256">
        <f t="shared" si="16"/>
        <v>1.0287189950781558E-3</v>
      </c>
      <c r="Q256">
        <v>12</v>
      </c>
      <c r="R256">
        <f t="shared" si="17"/>
        <v>3583.5784881374893</v>
      </c>
      <c r="S256">
        <f t="shared" si="18"/>
        <v>19.908769378541606</v>
      </c>
      <c r="T256">
        <f t="shared" si="19"/>
        <v>1433.4313952549956</v>
      </c>
    </row>
    <row r="257" spans="1:20" x14ac:dyDescent="0.25">
      <c r="A257" s="1">
        <v>71</v>
      </c>
      <c r="B257" t="s">
        <v>37</v>
      </c>
      <c r="C257" t="s">
        <v>9</v>
      </c>
      <c r="D257" t="s">
        <v>14</v>
      </c>
      <c r="E257">
        <v>335.33333333333331</v>
      </c>
      <c r="F257">
        <v>180</v>
      </c>
      <c r="G257">
        <v>270.07174966353807</v>
      </c>
      <c r="H257">
        <v>270.07174966355467</v>
      </c>
      <c r="I257">
        <f t="shared" si="15"/>
        <v>810215.24899066403</v>
      </c>
      <c r="J257">
        <v>0.99412605039429935</v>
      </c>
      <c r="K257">
        <v>25</v>
      </c>
      <c r="L257">
        <v>1</v>
      </c>
      <c r="M257">
        <v>3000</v>
      </c>
      <c r="N257">
        <v>82.06</v>
      </c>
      <c r="O257">
        <v>296.14999999999998</v>
      </c>
      <c r="P257">
        <f t="shared" si="16"/>
        <v>1.0287189950781558E-3</v>
      </c>
      <c r="Q257">
        <v>12</v>
      </c>
      <c r="R257">
        <f t="shared" si="17"/>
        <v>10001.805800864084</v>
      </c>
      <c r="S257">
        <f>R257/F257</f>
        <v>55.565587782578241</v>
      </c>
      <c r="T257">
        <f t="shared" si="19"/>
        <v>4000.7223203456333</v>
      </c>
    </row>
    <row r="258" spans="1:20" x14ac:dyDescent="0.25">
      <c r="A258" s="1">
        <v>64</v>
      </c>
      <c r="B258" t="s">
        <v>37</v>
      </c>
      <c r="C258" t="s">
        <v>8</v>
      </c>
      <c r="D258" t="s">
        <v>15</v>
      </c>
      <c r="E258">
        <v>407.18333333333334</v>
      </c>
      <c r="F258">
        <v>180</v>
      </c>
      <c r="G258">
        <v>404.38136308084398</v>
      </c>
      <c r="H258">
        <v>404.38136308088974</v>
      </c>
      <c r="I258">
        <f t="shared" si="15"/>
        <v>1213144.0892426693</v>
      </c>
      <c r="J258">
        <v>0.99970341792738726</v>
      </c>
      <c r="K258">
        <v>25</v>
      </c>
      <c r="L258">
        <v>1</v>
      </c>
      <c r="M258">
        <v>3000</v>
      </c>
      <c r="N258">
        <v>82.06</v>
      </c>
      <c r="O258">
        <v>296.14999999999998</v>
      </c>
      <c r="P258">
        <f t="shared" si="16"/>
        <v>1.0287189950781558E-3</v>
      </c>
      <c r="Q258">
        <v>12</v>
      </c>
      <c r="R258">
        <f t="shared" si="17"/>
        <v>14975.812420448679</v>
      </c>
      <c r="S258">
        <f t="shared" si="18"/>
        <v>83.198957891381554</v>
      </c>
      <c r="T258">
        <f t="shared" si="19"/>
        <v>5990.3249681794714</v>
      </c>
    </row>
    <row r="259" spans="1:20" x14ac:dyDescent="0.25">
      <c r="A259" s="1">
        <v>65</v>
      </c>
      <c r="B259" t="s">
        <v>37</v>
      </c>
      <c r="C259" t="s">
        <v>8</v>
      </c>
      <c r="D259" t="s">
        <v>15</v>
      </c>
      <c r="E259">
        <v>407.18333333333334</v>
      </c>
      <c r="F259">
        <v>180</v>
      </c>
      <c r="G259">
        <v>263.72715021722348</v>
      </c>
      <c r="H259">
        <v>263.72715021725389</v>
      </c>
      <c r="I259">
        <f t="shared" ref="I259:I273" si="20">H259*3000</f>
        <v>791181.45065176173</v>
      </c>
      <c r="J259">
        <v>0.99968626583112585</v>
      </c>
      <c r="K259">
        <v>25</v>
      </c>
      <c r="L259">
        <v>1</v>
      </c>
      <c r="M259">
        <v>3000</v>
      </c>
      <c r="N259">
        <v>82.06</v>
      </c>
      <c r="O259">
        <v>296.14999999999998</v>
      </c>
      <c r="P259">
        <f t="shared" ref="P259:P273" si="21">(L259*K259)/(N259*O259)</f>
        <v>1.0287189950781558E-3</v>
      </c>
      <c r="Q259">
        <v>12</v>
      </c>
      <c r="R259">
        <f t="shared" ref="R259:R273" si="22">Q259*P259*I259</f>
        <v>9766.8406420674946</v>
      </c>
      <c r="S259">
        <f t="shared" ref="S259:S273" si="23">R259/F259</f>
        <v>54.260225789263856</v>
      </c>
      <c r="T259">
        <f t="shared" ref="T259:T273" si="24">S259*72</f>
        <v>3906.7362568269978</v>
      </c>
    </row>
    <row r="260" spans="1:20" x14ac:dyDescent="0.25">
      <c r="A260" s="1">
        <v>66</v>
      </c>
      <c r="B260" t="s">
        <v>37</v>
      </c>
      <c r="C260" t="s">
        <v>8</v>
      </c>
      <c r="D260" t="s">
        <v>15</v>
      </c>
      <c r="E260">
        <v>407.2</v>
      </c>
      <c r="F260">
        <v>180</v>
      </c>
      <c r="G260">
        <v>423.03272933862303</v>
      </c>
      <c r="H260">
        <v>423.03272933867157</v>
      </c>
      <c r="I260">
        <f t="shared" si="20"/>
        <v>1269098.1880160146</v>
      </c>
      <c r="J260">
        <v>0.99983936971845633</v>
      </c>
      <c r="K260">
        <v>25</v>
      </c>
      <c r="L260">
        <v>1</v>
      </c>
      <c r="M260">
        <v>3000</v>
      </c>
      <c r="N260">
        <v>82.06</v>
      </c>
      <c r="O260">
        <v>296.14999999999998</v>
      </c>
      <c r="P260">
        <f t="shared" si="21"/>
        <v>1.0287189950781558E-3</v>
      </c>
      <c r="Q260">
        <v>12</v>
      </c>
      <c r="R260">
        <f t="shared" si="22"/>
        <v>15666.544951576116</v>
      </c>
      <c r="S260">
        <f t="shared" si="23"/>
        <v>87.036360842089536</v>
      </c>
      <c r="T260">
        <f t="shared" si="24"/>
        <v>6266.6179806304463</v>
      </c>
    </row>
    <row r="261" spans="1:20" x14ac:dyDescent="0.25">
      <c r="A261" s="1">
        <v>67</v>
      </c>
      <c r="B261" t="s">
        <v>37</v>
      </c>
      <c r="C261" t="s">
        <v>8</v>
      </c>
      <c r="D261" t="s">
        <v>15</v>
      </c>
      <c r="E261">
        <v>407.2</v>
      </c>
      <c r="F261">
        <v>180</v>
      </c>
      <c r="G261">
        <v>262.6117387742205</v>
      </c>
      <c r="H261">
        <v>262.61173877425074</v>
      </c>
      <c r="I261">
        <f t="shared" si="20"/>
        <v>787835.21632275218</v>
      </c>
      <c r="J261">
        <v>0.99985465192337075</v>
      </c>
      <c r="K261">
        <v>25</v>
      </c>
      <c r="L261">
        <v>1</v>
      </c>
      <c r="M261">
        <v>3000</v>
      </c>
      <c r="N261">
        <v>82.06</v>
      </c>
      <c r="O261">
        <v>296.14999999999998</v>
      </c>
      <c r="P261">
        <f t="shared" si="21"/>
        <v>1.0287189950781558E-3</v>
      </c>
      <c r="Q261">
        <v>12</v>
      </c>
      <c r="R261">
        <f t="shared" si="22"/>
        <v>9725.5326242726769</v>
      </c>
      <c r="S261">
        <f t="shared" si="23"/>
        <v>54.03073680151487</v>
      </c>
      <c r="T261">
        <f t="shared" si="24"/>
        <v>3890.2130497090707</v>
      </c>
    </row>
    <row r="262" spans="1:20" x14ac:dyDescent="0.25">
      <c r="A262" s="1">
        <v>68</v>
      </c>
      <c r="B262" t="s">
        <v>37</v>
      </c>
      <c r="C262" t="s">
        <v>9</v>
      </c>
      <c r="D262" t="s">
        <v>15</v>
      </c>
      <c r="E262">
        <v>407.21666666666664</v>
      </c>
      <c r="F262">
        <v>180</v>
      </c>
      <c r="G262">
        <v>111.6364641055215</v>
      </c>
      <c r="H262">
        <v>111.63646410552859</v>
      </c>
      <c r="I262">
        <f t="shared" si="20"/>
        <v>334909.39231658576</v>
      </c>
      <c r="J262">
        <v>0.99955029908750226</v>
      </c>
      <c r="K262">
        <v>25</v>
      </c>
      <c r="L262">
        <v>1</v>
      </c>
      <c r="M262">
        <v>3000</v>
      </c>
      <c r="N262">
        <v>82.06</v>
      </c>
      <c r="O262">
        <v>296.14999999999998</v>
      </c>
      <c r="P262">
        <f t="shared" si="21"/>
        <v>1.0287189950781558E-3</v>
      </c>
      <c r="Q262">
        <v>12</v>
      </c>
      <c r="R262">
        <f t="shared" si="22"/>
        <v>4134.3318420738469</v>
      </c>
      <c r="S262">
        <f t="shared" si="23"/>
        <v>22.968510233743594</v>
      </c>
      <c r="T262">
        <f t="shared" si="24"/>
        <v>1653.7327368295387</v>
      </c>
    </row>
    <row r="263" spans="1:20" x14ac:dyDescent="0.25">
      <c r="A263" s="1">
        <v>69</v>
      </c>
      <c r="B263" t="s">
        <v>37</v>
      </c>
      <c r="C263" t="s">
        <v>9</v>
      </c>
      <c r="D263" t="s">
        <v>15</v>
      </c>
      <c r="E263">
        <v>407.21666666666664</v>
      </c>
      <c r="F263">
        <v>180</v>
      </c>
      <c r="G263">
        <v>639.30469377735244</v>
      </c>
      <c r="H263">
        <v>639.30469377739394</v>
      </c>
      <c r="I263">
        <f t="shared" si="20"/>
        <v>1917914.0813321818</v>
      </c>
      <c r="J263">
        <v>0.9999874828493428</v>
      </c>
      <c r="K263">
        <v>25</v>
      </c>
      <c r="L263">
        <v>1</v>
      </c>
      <c r="M263">
        <v>3000</v>
      </c>
      <c r="N263">
        <v>82.06</v>
      </c>
      <c r="O263">
        <v>296.14999999999998</v>
      </c>
      <c r="P263">
        <f t="shared" si="21"/>
        <v>1.0287189950781558E-3</v>
      </c>
      <c r="Q263">
        <v>12</v>
      </c>
      <c r="R263">
        <f t="shared" si="22"/>
        <v>23675.935756731436</v>
      </c>
      <c r="S263">
        <f t="shared" si="23"/>
        <v>131.53297642628576</v>
      </c>
      <c r="T263">
        <f t="shared" si="24"/>
        <v>9470.3743026925749</v>
      </c>
    </row>
    <row r="264" spans="1:20" x14ac:dyDescent="0.25">
      <c r="A264" s="1">
        <v>70</v>
      </c>
      <c r="B264" t="s">
        <v>37</v>
      </c>
      <c r="C264" t="s">
        <v>9</v>
      </c>
      <c r="D264" t="s">
        <v>15</v>
      </c>
      <c r="E264">
        <v>407.23333333333335</v>
      </c>
      <c r="F264">
        <v>180</v>
      </c>
      <c r="G264">
        <v>133.55817708856802</v>
      </c>
      <c r="H264">
        <v>133.55817708857012</v>
      </c>
      <c r="I264">
        <f t="shared" si="20"/>
        <v>400674.53126571036</v>
      </c>
      <c r="J264">
        <v>0.99961810713829746</v>
      </c>
      <c r="K264">
        <v>25</v>
      </c>
      <c r="L264">
        <v>1</v>
      </c>
      <c r="M264">
        <v>3000</v>
      </c>
      <c r="N264">
        <v>82.06</v>
      </c>
      <c r="O264">
        <v>296.14999999999998</v>
      </c>
      <c r="P264">
        <f t="shared" si="21"/>
        <v>1.0287189950781558E-3</v>
      </c>
      <c r="Q264">
        <v>12</v>
      </c>
      <c r="R264">
        <f t="shared" si="22"/>
        <v>4946.1780138848726</v>
      </c>
      <c r="S264">
        <f t="shared" si="23"/>
        <v>27.478766743804847</v>
      </c>
      <c r="T264">
        <f t="shared" si="24"/>
        <v>1978.4712055539489</v>
      </c>
    </row>
    <row r="265" spans="1:20" x14ac:dyDescent="0.25">
      <c r="A265" s="1">
        <v>71</v>
      </c>
      <c r="B265" t="s">
        <v>37</v>
      </c>
      <c r="C265" t="s">
        <v>9</v>
      </c>
      <c r="D265" t="s">
        <v>15</v>
      </c>
      <c r="E265">
        <v>407.23333333333335</v>
      </c>
      <c r="F265">
        <v>180</v>
      </c>
      <c r="G265">
        <v>230.68361329025703</v>
      </c>
      <c r="H265">
        <v>230.68361329026064</v>
      </c>
      <c r="I265">
        <f t="shared" si="20"/>
        <v>692050.83987078187</v>
      </c>
      <c r="J265">
        <v>0.99991820456948555</v>
      </c>
      <c r="K265">
        <v>25</v>
      </c>
      <c r="L265">
        <v>1</v>
      </c>
      <c r="M265">
        <v>3000</v>
      </c>
      <c r="N265">
        <v>82.06</v>
      </c>
      <c r="O265">
        <v>296.14999999999998</v>
      </c>
      <c r="P265">
        <f t="shared" si="21"/>
        <v>1.0287189950781558E-3</v>
      </c>
      <c r="Q265">
        <v>12</v>
      </c>
      <c r="R265">
        <f t="shared" si="22"/>
        <v>8543.1101344183735</v>
      </c>
      <c r="S265">
        <f t="shared" si="23"/>
        <v>47.461722968990962</v>
      </c>
      <c r="T265">
        <f t="shared" si="24"/>
        <v>3417.2440537673492</v>
      </c>
    </row>
    <row r="266" spans="1:20" x14ac:dyDescent="0.25">
      <c r="A266" s="1">
        <v>64</v>
      </c>
      <c r="B266" t="s">
        <v>37</v>
      </c>
      <c r="C266" t="s">
        <v>8</v>
      </c>
      <c r="D266" t="s">
        <v>16</v>
      </c>
      <c r="E266">
        <v>503.2</v>
      </c>
      <c r="F266">
        <v>180</v>
      </c>
      <c r="G266">
        <v>401.44068398240501</v>
      </c>
      <c r="H266">
        <v>401.44068398243115</v>
      </c>
      <c r="I266">
        <f t="shared" si="20"/>
        <v>1204322.0519472936</v>
      </c>
      <c r="J266">
        <v>0.99997529778819905</v>
      </c>
      <c r="K266">
        <v>25</v>
      </c>
      <c r="L266">
        <v>1</v>
      </c>
      <c r="M266">
        <v>3000</v>
      </c>
      <c r="N266">
        <v>82.06</v>
      </c>
      <c r="O266">
        <v>296.14999999999998</v>
      </c>
      <c r="P266">
        <f t="shared" si="21"/>
        <v>1.0287189950781558E-3</v>
      </c>
      <c r="Q266">
        <v>12</v>
      </c>
      <c r="R266">
        <f t="shared" si="22"/>
        <v>14866.907652356189</v>
      </c>
      <c r="S266">
        <f t="shared" si="23"/>
        <v>82.593931401978821</v>
      </c>
      <c r="T266">
        <f t="shared" si="24"/>
        <v>5946.763060942475</v>
      </c>
    </row>
    <row r="267" spans="1:20" x14ac:dyDescent="0.25">
      <c r="A267" s="1">
        <v>65</v>
      </c>
      <c r="B267" t="s">
        <v>37</v>
      </c>
      <c r="C267" t="s">
        <v>8</v>
      </c>
      <c r="D267" t="s">
        <v>16</v>
      </c>
      <c r="E267">
        <v>503.2</v>
      </c>
      <c r="F267">
        <v>180</v>
      </c>
      <c r="G267">
        <v>146.317536599508</v>
      </c>
      <c r="H267">
        <v>146.31753659951659</v>
      </c>
      <c r="I267">
        <f t="shared" si="20"/>
        <v>438952.60979854973</v>
      </c>
      <c r="J267">
        <v>0.97370361590282295</v>
      </c>
      <c r="K267">
        <v>25</v>
      </c>
      <c r="L267">
        <v>1</v>
      </c>
      <c r="M267">
        <v>3000</v>
      </c>
      <c r="N267">
        <v>82.06</v>
      </c>
      <c r="O267">
        <v>296.14999999999998</v>
      </c>
      <c r="P267">
        <f t="shared" si="21"/>
        <v>1.0287189950781558E-3</v>
      </c>
      <c r="Q267">
        <v>12</v>
      </c>
      <c r="R267">
        <f t="shared" si="22"/>
        <v>5418.7066516667755</v>
      </c>
      <c r="S267">
        <f t="shared" si="23"/>
        <v>30.103925842593199</v>
      </c>
      <c r="T267">
        <f t="shared" si="24"/>
        <v>2167.4826606667102</v>
      </c>
    </row>
    <row r="268" spans="1:20" x14ac:dyDescent="0.25">
      <c r="A268" s="1">
        <v>66</v>
      </c>
      <c r="B268" t="s">
        <v>37</v>
      </c>
      <c r="C268" t="s">
        <v>8</v>
      </c>
      <c r="D268" t="s">
        <v>16</v>
      </c>
      <c r="E268">
        <v>503.21666666666664</v>
      </c>
      <c r="F268">
        <v>180</v>
      </c>
      <c r="G268">
        <v>312.37510753989494</v>
      </c>
      <c r="H268">
        <v>312.37510753993081</v>
      </c>
      <c r="I268">
        <f t="shared" si="20"/>
        <v>937125.32261979242</v>
      </c>
      <c r="J268">
        <v>0.99982630401471906</v>
      </c>
      <c r="K268">
        <v>25</v>
      </c>
      <c r="L268">
        <v>1</v>
      </c>
      <c r="M268">
        <v>3000</v>
      </c>
      <c r="N268">
        <v>82.06</v>
      </c>
      <c r="O268">
        <v>296.14999999999998</v>
      </c>
      <c r="P268">
        <f t="shared" si="21"/>
        <v>1.0287189950781558E-3</v>
      </c>
      <c r="Q268">
        <v>12</v>
      </c>
      <c r="R268">
        <f t="shared" si="22"/>
        <v>11568.463441772705</v>
      </c>
      <c r="S268">
        <f t="shared" si="23"/>
        <v>64.26924134318169</v>
      </c>
      <c r="T268">
        <f t="shared" si="24"/>
        <v>4627.3853767090814</v>
      </c>
    </row>
    <row r="269" spans="1:20" x14ac:dyDescent="0.25">
      <c r="A269" s="1">
        <v>67</v>
      </c>
      <c r="B269" t="s">
        <v>37</v>
      </c>
      <c r="C269" t="s">
        <v>8</v>
      </c>
      <c r="D269" t="s">
        <v>16</v>
      </c>
      <c r="E269">
        <v>503.21666666666664</v>
      </c>
      <c r="F269">
        <v>180</v>
      </c>
      <c r="G269">
        <v>178.19585935884749</v>
      </c>
      <c r="H269">
        <v>178.19585935886775</v>
      </c>
      <c r="I269">
        <f t="shared" si="20"/>
        <v>534587.57807660324</v>
      </c>
      <c r="J269">
        <v>0.99994965579645445</v>
      </c>
      <c r="K269">
        <v>25</v>
      </c>
      <c r="L269">
        <v>1</v>
      </c>
      <c r="M269">
        <v>3000</v>
      </c>
      <c r="N269">
        <v>82.06</v>
      </c>
      <c r="O269">
        <v>296.14999999999998</v>
      </c>
      <c r="P269">
        <f t="shared" si="21"/>
        <v>1.0287189950781558E-3</v>
      </c>
      <c r="Q269">
        <v>12</v>
      </c>
      <c r="R269">
        <f t="shared" si="22"/>
        <v>6599.2847532027417</v>
      </c>
      <c r="S269">
        <f t="shared" si="23"/>
        <v>36.662693073348564</v>
      </c>
      <c r="T269">
        <f t="shared" si="24"/>
        <v>2639.7139012810967</v>
      </c>
    </row>
    <row r="270" spans="1:20" x14ac:dyDescent="0.25">
      <c r="A270" s="1">
        <v>68</v>
      </c>
      <c r="B270" t="s">
        <v>37</v>
      </c>
      <c r="C270" t="s">
        <v>9</v>
      </c>
      <c r="D270" t="s">
        <v>16</v>
      </c>
      <c r="E270">
        <v>503.23333333333335</v>
      </c>
      <c r="F270">
        <v>180</v>
      </c>
      <c r="G270">
        <v>115.93459957762201</v>
      </c>
      <c r="H270">
        <v>115.93459957762386</v>
      </c>
      <c r="I270">
        <f t="shared" si="20"/>
        <v>347803.7987328716</v>
      </c>
      <c r="J270">
        <v>0.99959915175629499</v>
      </c>
      <c r="K270">
        <v>25</v>
      </c>
      <c r="L270">
        <v>1</v>
      </c>
      <c r="M270">
        <v>3000</v>
      </c>
      <c r="N270">
        <v>82.06</v>
      </c>
      <c r="O270">
        <v>296.14999999999998</v>
      </c>
      <c r="P270">
        <f t="shared" si="21"/>
        <v>1.0287189950781558E-3</v>
      </c>
      <c r="Q270">
        <v>12</v>
      </c>
      <c r="R270">
        <f t="shared" si="22"/>
        <v>4293.5084918021375</v>
      </c>
      <c r="S270">
        <f t="shared" si="23"/>
        <v>23.85282495445632</v>
      </c>
      <c r="T270">
        <f t="shared" si="24"/>
        <v>1717.403396720855</v>
      </c>
    </row>
    <row r="271" spans="1:20" x14ac:dyDescent="0.25">
      <c r="A271" s="1">
        <v>69</v>
      </c>
      <c r="B271" t="s">
        <v>37</v>
      </c>
      <c r="C271" t="s">
        <v>9</v>
      </c>
      <c r="D271" t="s">
        <v>16</v>
      </c>
      <c r="E271">
        <v>503.23333333333335</v>
      </c>
      <c r="F271">
        <v>180</v>
      </c>
      <c r="G271">
        <v>351.14120658250596</v>
      </c>
      <c r="H271">
        <v>351.14120658251142</v>
      </c>
      <c r="I271">
        <f t="shared" si="20"/>
        <v>1053423.6197475342</v>
      </c>
      <c r="J271">
        <v>0.99998518098590983</v>
      </c>
      <c r="K271">
        <v>25</v>
      </c>
      <c r="L271">
        <v>1</v>
      </c>
      <c r="M271">
        <v>3000</v>
      </c>
      <c r="N271">
        <v>82.06</v>
      </c>
      <c r="O271">
        <v>296.14999999999998</v>
      </c>
      <c r="P271">
        <f t="shared" si="21"/>
        <v>1.0287189950781558E-3</v>
      </c>
      <c r="Q271">
        <v>12</v>
      </c>
      <c r="R271">
        <f t="shared" si="22"/>
        <v>13004.122649979319</v>
      </c>
      <c r="S271">
        <f t="shared" si="23"/>
        <v>72.245125833218438</v>
      </c>
      <c r="T271">
        <f t="shared" si="24"/>
        <v>5201.6490599917279</v>
      </c>
    </row>
    <row r="272" spans="1:20" x14ac:dyDescent="0.25">
      <c r="A272" s="1">
        <v>70</v>
      </c>
      <c r="B272" t="s">
        <v>37</v>
      </c>
      <c r="C272" t="s">
        <v>9</v>
      </c>
      <c r="D272" t="s">
        <v>16</v>
      </c>
      <c r="E272">
        <v>503.25</v>
      </c>
      <c r="F272">
        <v>180</v>
      </c>
      <c r="G272">
        <v>109.70790779049651</v>
      </c>
      <c r="H272">
        <v>109.70790779050337</v>
      </c>
      <c r="I272">
        <f t="shared" si="20"/>
        <v>329123.7233715101</v>
      </c>
      <c r="J272">
        <v>0.99568327009786317</v>
      </c>
      <c r="K272">
        <v>25</v>
      </c>
      <c r="L272">
        <v>1</v>
      </c>
      <c r="M272">
        <v>3000</v>
      </c>
      <c r="N272">
        <v>82.06</v>
      </c>
      <c r="O272">
        <v>296.14999999999998</v>
      </c>
      <c r="P272">
        <f t="shared" si="21"/>
        <v>1.0287189950781558E-3</v>
      </c>
      <c r="Q272">
        <v>12</v>
      </c>
      <c r="R272">
        <f t="shared" si="22"/>
        <v>4062.90991155745</v>
      </c>
      <c r="S272">
        <f t="shared" si="23"/>
        <v>22.571721730874721</v>
      </c>
      <c r="T272">
        <f t="shared" si="24"/>
        <v>1625.1639646229798</v>
      </c>
    </row>
    <row r="273" spans="1:20" x14ac:dyDescent="0.25">
      <c r="A273" s="1">
        <v>71</v>
      </c>
      <c r="B273" t="s">
        <v>37</v>
      </c>
      <c r="C273" t="s">
        <v>9</v>
      </c>
      <c r="D273" t="s">
        <v>16</v>
      </c>
      <c r="E273">
        <v>503.25</v>
      </c>
      <c r="F273">
        <v>180</v>
      </c>
      <c r="G273">
        <v>177.1866298382065</v>
      </c>
      <c r="H273">
        <v>177.18662983821801</v>
      </c>
      <c r="I273">
        <f t="shared" si="20"/>
        <v>531559.88951465406</v>
      </c>
      <c r="J273">
        <v>0.99983744139549002</v>
      </c>
      <c r="K273">
        <v>25</v>
      </c>
      <c r="L273">
        <v>1</v>
      </c>
      <c r="M273">
        <v>3000</v>
      </c>
      <c r="N273">
        <v>82.06</v>
      </c>
      <c r="O273">
        <v>296.14999999999998</v>
      </c>
      <c r="P273">
        <f t="shared" si="21"/>
        <v>1.0287189950781558E-3</v>
      </c>
      <c r="Q273">
        <v>12</v>
      </c>
      <c r="R273">
        <f t="shared" si="22"/>
        <v>6561.9090643844456</v>
      </c>
      <c r="S273">
        <f t="shared" si="23"/>
        <v>36.455050357691363</v>
      </c>
      <c r="T273">
        <f t="shared" si="24"/>
        <v>2624.7636257537779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CO2_h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Selina Lepori</cp:lastModifiedBy>
  <dcterms:created xsi:type="dcterms:W3CDTF">2021-09-08T07:15:34Z</dcterms:created>
  <dcterms:modified xsi:type="dcterms:W3CDTF">2021-10-29T06:13:31Z</dcterms:modified>
</cp:coreProperties>
</file>